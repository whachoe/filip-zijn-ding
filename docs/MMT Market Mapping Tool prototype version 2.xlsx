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filip_claes_fao_org/Documents/desktop/"/>
    </mc:Choice>
  </mc:AlternateContent>
  <xr:revisionPtr revIDLastSave="200" documentId="8_{813D0DFE-9FDD-487E-8C44-2C9CE88B541A}" xr6:coauthVersionLast="47" xr6:coauthVersionMax="47" xr10:uidLastSave="{837237F2-D242-45AF-8E35-26250375FC3F}"/>
  <bookViews>
    <workbookView xWindow="-120" yWindow="-120" windowWidth="29040" windowHeight="15720" activeTab="1" xr2:uid="{19F27D93-D258-40FF-B22C-864AB6B5FEC8}"/>
  </bookViews>
  <sheets>
    <sheet name="info sheet" sheetId="3" r:id="rId1"/>
    <sheet name="raw data" sheetId="1" r:id="rId2"/>
    <sheet name="analysi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D34" i="2" s="1"/>
  <c r="L59" i="1"/>
  <c r="M59" i="1"/>
  <c r="C34" i="2" s="1"/>
  <c r="P51" i="1"/>
  <c r="Q51" i="1" s="1"/>
  <c r="D33" i="2" s="1"/>
  <c r="L51" i="1"/>
  <c r="M51" i="1" s="1"/>
  <c r="C33" i="2" s="1"/>
  <c r="P46" i="1"/>
  <c r="Q46" i="1" s="1"/>
  <c r="D32" i="2" s="1"/>
  <c r="L46" i="1"/>
  <c r="M46" i="1" s="1"/>
  <c r="C32" i="2" s="1"/>
  <c r="P41" i="1"/>
  <c r="Q41" i="1" s="1"/>
  <c r="D31" i="2" s="1"/>
  <c r="L41" i="1"/>
  <c r="P32" i="1"/>
  <c r="L32" i="1"/>
  <c r="P23" i="1"/>
  <c r="L23" i="1"/>
  <c r="M23" i="1" s="1"/>
  <c r="C29" i="2" s="1"/>
  <c r="P17" i="1"/>
  <c r="Q17" i="1" s="1"/>
  <c r="D28" i="2" s="1"/>
  <c r="L17" i="1"/>
  <c r="M17" i="1" s="1"/>
  <c r="C28" i="2" s="1"/>
  <c r="P11" i="1"/>
  <c r="L11" i="1"/>
  <c r="P4" i="1"/>
  <c r="Q4" i="1" s="1"/>
  <c r="D26" i="2" s="1"/>
  <c r="L4" i="1"/>
  <c r="M4" i="1" s="1"/>
  <c r="C26" i="2" s="1"/>
  <c r="H59" i="1"/>
  <c r="I59" i="1" s="1"/>
  <c r="B13" i="2" s="1"/>
  <c r="B34" i="2" s="1"/>
  <c r="H51" i="1"/>
  <c r="I51" i="1" s="1"/>
  <c r="B12" i="2" s="1"/>
  <c r="B33" i="2" s="1"/>
  <c r="H46" i="1"/>
  <c r="I46" i="1" s="1"/>
  <c r="B11" i="2" s="1"/>
  <c r="B32" i="2" s="1"/>
  <c r="H41" i="1"/>
  <c r="I41" i="1" s="1"/>
  <c r="B10" i="2" s="1"/>
  <c r="B31" i="2" s="1"/>
  <c r="H23" i="1"/>
  <c r="I23" i="1" s="1"/>
  <c r="B8" i="2" s="1"/>
  <c r="B29" i="2" s="1"/>
  <c r="M41" i="1"/>
  <c r="C31" i="2" s="1"/>
  <c r="Q32" i="1"/>
  <c r="D30" i="2" s="1"/>
  <c r="M32" i="1"/>
  <c r="C30" i="2" s="1"/>
  <c r="Q23" i="1"/>
  <c r="D29" i="2" s="1"/>
  <c r="H11" i="1"/>
  <c r="H17" i="1"/>
  <c r="I17" i="1" s="1"/>
  <c r="B7" i="2" s="1"/>
  <c r="B28" i="2" s="1"/>
  <c r="H32" i="1"/>
  <c r="I32" i="1" s="1"/>
  <c r="B9" i="2" s="1"/>
  <c r="B30" i="2" s="1"/>
  <c r="H4" i="1"/>
  <c r="I4" i="1" s="1"/>
  <c r="B5" i="2" s="1"/>
  <c r="I11" i="1" l="1"/>
  <c r="B6" i="2" s="1"/>
  <c r="B26" i="2"/>
  <c r="Q11" i="1"/>
  <c r="D27" i="2" s="1"/>
  <c r="D36" i="2" s="1"/>
  <c r="M11" i="1"/>
  <c r="C27" i="2" s="1"/>
  <c r="C36" i="2" s="1"/>
  <c r="B27" i="2" l="1"/>
  <c r="B36" i="2" s="1"/>
  <c r="B15" i="2"/>
</calcChain>
</file>

<file path=xl/sharedStrings.xml><?xml version="1.0" encoding="utf-8"?>
<sst xmlns="http://schemas.openxmlformats.org/spreadsheetml/2006/main" count="399" uniqueCount="375">
  <si>
    <t>Name Market</t>
  </si>
  <si>
    <t>Country</t>
  </si>
  <si>
    <t>Assessor</t>
  </si>
  <si>
    <t>Market Mapping Tool (MMT) - MATRIX</t>
  </si>
  <si>
    <t>CATEGORIES</t>
  </si>
  <si>
    <t>Indicators</t>
  </si>
  <si>
    <t>Score 1 (Low)</t>
  </si>
  <si>
    <t>Score 2</t>
  </si>
  <si>
    <t>Score 3</t>
  </si>
  <si>
    <t>Score 4 (High)</t>
  </si>
  <si>
    <t>Score</t>
  </si>
  <si>
    <t>Average for category</t>
  </si>
  <si>
    <t>%</t>
  </si>
  <si>
    <t>Previous Score 1</t>
  </si>
  <si>
    <t>Previous Score 2</t>
  </si>
  <si>
    <t>Category 1: Governance, Regulation, and Market Management</t>
  </si>
  <si>
    <t>Category 2: Infrastructure and Facilities</t>
  </si>
  <si>
    <t>Category 4: Zoonotic Risk Factors</t>
  </si>
  <si>
    <t>Category 5: Surveillance and Reporting</t>
  </si>
  <si>
    <t>Category 6: Risk Communication and Awareness</t>
  </si>
  <si>
    <t>Category 7: Market Connectivity and Trade Dynamics</t>
  </si>
  <si>
    <t>Category 8: Emergency Preparedness and Risk Mitigation</t>
  </si>
  <si>
    <t>Table - main categories</t>
  </si>
  <si>
    <t>current score</t>
  </si>
  <si>
    <t>category</t>
  </si>
  <si>
    <t>Governance, Regulation, and Market Management</t>
  </si>
  <si>
    <t>Infrastructure and Facilities</t>
  </si>
  <si>
    <t>Biosecurity and Hygiene Practices</t>
  </si>
  <si>
    <t>Zoonotic Risk Factors</t>
  </si>
  <si>
    <t>Surveillance and Reporting</t>
  </si>
  <si>
    <t>Risk Communication and Awareness</t>
  </si>
  <si>
    <t>Market Connectivity and Trade Dynamics</t>
  </si>
  <si>
    <t>Emergency Preparedness and Risk Mitigation</t>
  </si>
  <si>
    <t>Stakeholder Engagement</t>
  </si>
  <si>
    <t>Overall score</t>
  </si>
  <si>
    <t>previous 1</t>
  </si>
  <si>
    <t>previous 2</t>
  </si>
  <si>
    <t>Overall  Score</t>
  </si>
  <si>
    <t>Are there market level SOPs for cleaning, disinfection, slaughter, animal and waste handling?</t>
  </si>
  <si>
    <t>Is there any licensing or registration of the market and its vendors?</t>
  </si>
  <si>
    <t>Is there any oversight by veterinary and public‑health authorities using official policy documents?</t>
  </si>
  <si>
    <t>Is there a market management committee or designated authority present AND sufficiently funded to maintain market operations?</t>
  </si>
  <si>
    <t>Is there access to hand‑washing with disinfection (soap) stations?</t>
  </si>
  <si>
    <t>Is there adequate drainage for waste water management and solid waste and carcass disposal by product?</t>
  </si>
  <si>
    <t>Is there cold storage or chilling units for products available?</t>
  </si>
  <si>
    <t>Category 3: Biosecurity, Hygiene and Sanitary Practices</t>
  </si>
  <si>
    <t>Are there routine cleaning and disinfection schedules for market facilities (cages, equipment, transport containers, holding pens)?</t>
  </si>
  <si>
    <t>Are there rest days for thorough cleaning and disinfection? Are any animals staying overnight?</t>
  </si>
  <si>
    <t>Are there procedures for managing sick or dead animals?</t>
  </si>
  <si>
    <t>Is PPE (gloves, masks, aprons) accessible and used by vendors and market workers?</t>
  </si>
  <si>
    <t>Is there frequent hand hygiene among workers and vendors?</t>
  </si>
  <si>
    <t>Is there clear separation of animals (species, feral) and market practices (animal holding, slaughter, sales area)?</t>
  </si>
  <si>
    <t>Are there slaughtering practices within the market premises?</t>
  </si>
  <si>
    <t>How many different sources do animals come from?</t>
  </si>
  <si>
    <t>What is the presence of high‐risk species and level of species mixing? Are farmed and wild-captured animals present and separated?</t>
  </si>
  <si>
    <t>Are there any sick or dead animals present in the market?</t>
  </si>
  <si>
    <t>Are there signs of environmental contamination (blood, feathers, faeces) visible?</t>
  </si>
  <si>
    <t>Are animals kept overnight?</t>
  </si>
  <si>
    <t>Are there any vector species (insects, rodents) present?</t>
  </si>
  <si>
    <t>What is the proximity to wetlands or wildlife habitats?</t>
  </si>
  <si>
    <t>Is there any active or passive disease surveillance in the market?</t>
  </si>
  <si>
    <t>Is there submission of animal or environmental samples for laboratory testing followed by appropriate data analysis?</t>
  </si>
  <si>
    <t>Are there any clear actions from surveillance and reporting?</t>
  </si>
  <si>
    <t>Is there a legal framework for sampling, surveillance and data-sharing?</t>
  </si>
  <si>
    <t>Are digital or manual early‑warning and data‑systems used?</t>
  </si>
  <si>
    <t>Are there two-way channels for communication with communities during outbreaks and for informing surveillance results?</t>
  </si>
  <si>
    <t>Are culturally appropriate posters and materials for good practices and risk messaging used that match the infrastructure and the risk?</t>
  </si>
  <si>
    <t>Are there any KAP (Knowledge, Attitudes, Practices) assessments performed and are the data available?</t>
  </si>
  <si>
    <t>What is the level of species types traded, and is this registered?</t>
  </si>
  <si>
    <t>What are the sources and destinations of traded animals (local, regional, cross‑border)?</t>
  </si>
  <si>
    <t>Is there any cross‑border movement or unregulated informal trade links?</t>
  </si>
  <si>
    <t>Are clear thresholds for emergency escalation/de-escalation defined?</t>
  </si>
  <si>
    <t>Are the mechanisms defined for risk assessments and are risk assessments being performed?</t>
  </si>
  <si>
    <t>Are there adequate emergency sanitation supplies (disinfectants, PPE, etc.) available?</t>
  </si>
  <si>
    <t>Are there contingency/outbreak response plans and SOPs present and practised?</t>
  </si>
  <si>
    <t>Are there isolation or quarantine spaces for sick animals?</t>
  </si>
  <si>
    <t>Category 9: Stakeholder and Community Engagement</t>
  </si>
  <si>
    <t>Is there a clear mapping of all stakeholders, the market hierarchy, and lines of reporting?</t>
  </si>
  <si>
    <t>Is there continuous culturally appropriate awareness building and education?</t>
  </si>
  <si>
    <t>Are women, marginalized groups, or smallholders included in market governance and decision making?</t>
  </si>
  <si>
    <t>What is the duration animals held before sale or slaughter, and in what conditions (density) are animals kept?</t>
  </si>
  <si>
    <t>Is the history of zoonotic/pathogen detection in the market known and recorded?</t>
  </si>
  <si>
    <t>Is there education and training for market vendors and workers for emergency preparedness?</t>
  </si>
  <si>
    <t>Are there existing vendor associations or cooperatives contributing to safe trade operating in the market?</t>
  </si>
  <si>
    <t>Is there engagement of vendors, traders, transporters in market improvements and biosecurity or disease‑control programmes?</t>
  </si>
  <si>
    <t>Is there timely reporting of surveillance activities and is there a loop-back mechanism to the community? Are disease detection or case reporting mechanisms present?</t>
  </si>
  <si>
    <t>Some oversight exists, but it is irregular, informal, or based on outdated or incomplete policy documents, with limited authority presence.</t>
  </si>
  <si>
    <t>Oversight by veterinary and/or public‑health authorities is established and guided by official policy documents, but implementation is inconsistent or limited in scope.</t>
  </si>
  <si>
    <t>Regular and coordinated oversight by veterinary and public‑health authorities is conducted using up‑to‑date official policy documents, with clear mandates and routine supervision.</t>
  </si>
  <si>
    <t>There is no formal oversight by veterinary or public‑health authorities, and no official policy documents are applied or referenced at the market level.</t>
  </si>
  <si>
    <t>Neither the market nor its vendors are licensed or registered with any competent authority.</t>
  </si>
  <si>
    <t>The market and/or some vendors are registered or licensed, but the process is incomplete, outdated, or weakly enforced.</t>
  </si>
  <si>
    <t>The market is licensed and most vendors are registered, but records are not always updated or systematically verified.</t>
  </si>
  <si>
    <t>The market and all vendors are formally licensed and registered, with updated records that are routinely verified and enforced by authorities.</t>
  </si>
  <si>
    <t>No market management committee or designated authority exists, or it exists only in name without funding or operational capacity.</t>
  </si>
  <si>
    <t>A committee or designated authority exists, but funding is insufficient to effectively manage or maintain market operations.</t>
  </si>
  <si>
    <t>A management committee or authority is present and funded, but resources are limited and operational effectiveness is inconsistent.</t>
  </si>
  <si>
    <t>A functional market management committee or designated authority is in place, adequately funded, and able to effectively maintain and manage market operations.</t>
  </si>
  <si>
    <t>Is there any policy enforcement on hygiene, animal welfare, disease‑control regulations?</t>
  </si>
  <si>
    <t>No enforcement of hygiene, animal welfare, or disease‑control regulations is observed, despite policies existing at national or local level.</t>
  </si>
  <si>
    <t>Enforcement occurs sporadically, is reactive, or depends on individual inspectors rather than systematic procedures.</t>
  </si>
  <si>
    <t>Policies are enforced regularly, but enforcement may be uneven across the market or weakened during peak periods.</t>
  </si>
  <si>
    <t>Hygiene, animal welfare, and disease‑control regulations are consistently enforced through routine inspections, clear penalties, and documented follow‑up actions.</t>
  </si>
  <si>
    <t>No market‑level rules or by‑laws exist, or existing rules are not aligned with national policies.</t>
  </si>
  <si>
    <t>Market‑level rules or by‑laws exist but are only partially aligned with national policies or poorly communicated to market users.</t>
  </si>
  <si>
    <t>Market‑level rules and by‑laws are largely aligned with national policies, but enforcement or periodic review is limited.</t>
  </si>
  <si>
    <t>Market‑level rules and by‑laws are fully aligned with national policies, well communicated, regularly reviewed, and effectively enforced.</t>
  </si>
  <si>
    <t>No SOPs exist for cleaning, disinfection, slaughter, animal handling, or waste management, and practices are informal.</t>
  </si>
  <si>
    <t>SOPs exist but are incomplete, outdated, or known only by a small number of actors, with limited implementation.</t>
  </si>
  <si>
    <t>SOPs are available and generally followed, but compliance varies and monitoring is irregular.</t>
  </si>
  <si>
    <t>Comprehensive SOPs are in place, up‑to‑date, widely disseminated, consistently implemented, and routinely monitored for compliance.</t>
  </si>
  <si>
    <t>Is there any cross‑sectoral collaboration at market level between public health, animal health, and judicial authorities?</t>
  </si>
  <si>
    <t>No collaboration exists between public health, animal health, and judicial authorities at market level.</t>
  </si>
  <si>
    <t>Limited collaboration occurs on an ad‑hoc basis, usually during outbreaks or enforcement actions.</t>
  </si>
  <si>
    <t>Regular collaboration exists between sectors, but coordination mechanisms are informal or not fully institutionalized.</t>
  </si>
  <si>
    <t>Formal, institutionalized cross‑sectoral collaboration exists, with regular coordination, information sharing, and joint action at market level.</t>
  </si>
  <si>
    <t>Is there an adequate physical layout including species segregation, separation of slaughter and retail zones?</t>
  </si>
  <si>
    <t>There is no physical layout planning; species are mixed, and slaughter occurs in the same areas as retail without separation.</t>
  </si>
  <si>
    <t>Some informal separation exists between species or functions, but it is not enforced, and layout is poorly organized.</t>
  </si>
  <si>
    <t>The layout includes basic separation between species, slaughter, and retail zones, but the infrastructure or signage is limited.</t>
  </si>
  <si>
    <t>The market has a well‑defined physical layout with clear, enforced segregation of species, and distinct areas for slaughter and retail activities.</t>
  </si>
  <si>
    <t>There is no functioning drainage system; wastewater and waste accumulate in open areas, with no structured disposal.</t>
  </si>
  <si>
    <t>Drainage exists but is poorly designed, often clogged, or not maintained; disposal of solid waste and carcasses is irregular.</t>
  </si>
  <si>
    <t>Drainage is mostly functional; some systems are in place for disposal by product, but practices vary and oversight is weak.</t>
  </si>
  <si>
    <t>Drainage and waste management systems are well maintained, with appropriate collection, segregation, and disposal by product type.</t>
  </si>
  <si>
    <t>There are no handwashing facilities with soap or disinfectant available in the market.</t>
  </si>
  <si>
    <t>Handwashing stations exist but may lack soap, disinfectant, or are inaccessible to most vendors and customers.</t>
  </si>
  <si>
    <t>Handwashing stations with disinfectant are available in key areas, but not consistently stocked or maintained.</t>
  </si>
  <si>
    <t>Clean, functional handwashing stations with soap or disinfectant are available, accessible, and routinely supplied throughout the market.</t>
  </si>
  <si>
    <t>Is there sufficient power and ventilation?</t>
  </si>
  <si>
    <t>There is no reliable power supply, and ventilation is inadequate in enclosed areas of the market.</t>
  </si>
  <si>
    <t>Power or ventilation exists but is unreliable, insufficient, or not maintained.</t>
  </si>
  <si>
    <t>Basic power and ventilation are present and functional in most areas, but coverage may be inconsistent.</t>
  </si>
  <si>
    <t>Adequate and reliable power and ventilation are provided throughout the market, ensuring proper lighting, airflow, and equipment use.</t>
  </si>
  <si>
    <t>No cold storage or chilling units are present; perishable products are kept at ambient temperature.</t>
  </si>
  <si>
    <t>Cold storage exists but is limited in capacity, not functioning properly, or inaccessible to most vendors.</t>
  </si>
  <si>
    <t>Functional chilling units are available and used by some vendors, but may not meet full market demand.</t>
  </si>
  <si>
    <t>Sufficient, well-maintained cold storage and chilling units are available and accessible for all vendors handling perishable products.</t>
  </si>
  <si>
    <t>Are the floors and surfaces washeable?</t>
  </si>
  <si>
    <t>Floors and surfaces are not wash‑friendly; materials are porous, cracked, or damaged, making cleaning difficult.</t>
  </si>
  <si>
    <t>Some areas have washable surfaces, but others remain unhygienic or made of inappropriate materials.</t>
  </si>
  <si>
    <t>Most market surfaces are washable and regularly cleaned, but some structural issues or gaps remain.</t>
  </si>
  <si>
    <t>All floors and surfaces are made of durable, washable materials and are cleaned regularly as part of standard sanitation practices.</t>
  </si>
  <si>
    <t>There is no separation between animal species, feral animals, or between slaughter, holding, and sales areas. Activities are mixed with high cross-contamination risk.</t>
  </si>
  <si>
    <t>Some separation exists, but boundaries are informal or unenforced; feral animals may roam freely.</t>
  </si>
  <si>
    <t>Separation of animal types and market functions exists, but some practices or zones overlap; enforcement may be inconsistent.</t>
  </si>
  <si>
    <t>There is clear, enforced physical and procedural separation of species (including feral animals) and all market practices (holding, slaughter, sales), reducing transmission risks.</t>
  </si>
  <si>
    <t>There are no cleaning or disinfection schedules; activities are ad hoc or reactive to complaints.</t>
  </si>
  <si>
    <t>Schedules exist but are irregular or only partially followed; certain facilities may be neglected.</t>
  </si>
  <si>
    <t>Routine cleaning and disinfection are carried out on a scheduled basis, though monitoring or consistency may vary.</t>
  </si>
  <si>
    <t>Comprehensive cleaning and disinfection are conducted on a routine schedule for all facilities, with records and oversight ensuring adherence.</t>
  </si>
  <si>
    <t>PPE is not available, or vendors and workers are unaware or unwilling to use it.</t>
  </si>
  <si>
    <t>Some PPE is available but limited in quantity, type, or only used during inspections.</t>
  </si>
  <si>
    <t>PPE is generally available and used by most market actors, though not always consistently or appropriately.</t>
  </si>
  <si>
    <t>PPE is fully accessible and used consistently and correctly by all vendors and workers during relevant activities, in line with training and guidance.</t>
  </si>
  <si>
    <t>No procedures exist; sick or dead animals remain in the market or are disposed of informally.</t>
  </si>
  <si>
    <t>Informal procedures are used inconsistently and without guidance from veterinary or health authorities.</t>
  </si>
  <si>
    <t>Procedures are in place and usually followed, but gaps remain in monitoring or disposal practices.</t>
  </si>
  <si>
    <t>Standard procedures for reporting, isolating, removing, and disposing of sick or dead animals are in place, enforced, and understood by all market actors.</t>
  </si>
  <si>
    <t>No rest days are scheduled, and animals routinely stay overnight with no biosecurity controls.</t>
  </si>
  <si>
    <t>Occasional rest days are designated, but implementation is inconsistent, and animals may still remain onsite.</t>
  </si>
  <si>
    <t>Rest days occur on a regular schedule and most animals are removed, but some remain due to operational constraints.</t>
  </si>
  <si>
    <t>Rest days are consistently scheduled and used for thorough cleaning and disinfection; no animals remain onsite overnight unless in secure, biosecure holding facilities.</t>
  </si>
  <si>
    <t>Hand hygiene is not practiced; there is no access to soap, water, or handwashing infrastructure.</t>
  </si>
  <si>
    <t>Hand hygiene is practiced occasionally; soap or handwashing stations are present but underused.</t>
  </si>
  <si>
    <t>Hand hygiene is practiced by most workers and vendors, especially during risk activities, though gaps remain.</t>
  </si>
  <si>
    <t>Hand hygiene is frequently and consistently practiced by all market workers and vendors, supported by infrastructure and behavioral reinforcement.</t>
  </si>
  <si>
    <t>High-risk species are present and mixed without any separation; wild and farmed animals are kept together.</t>
  </si>
  <si>
    <t>High-risk species are present and partially separated, but enforcement is weak or inconsistent.</t>
  </si>
  <si>
    <t>High-risk species are separated from others, and wild/farmed animals are kept apart in most areas.</t>
  </si>
  <si>
    <t>High-risk species are either absent or strictly separated; wild-captured and farmed animals are fully segregated with clear enforcement.</t>
  </si>
  <si>
    <t>Animals are kept for prolonged periods in overcrowded, unsanitary conditions without consideration for welfare or health.</t>
  </si>
  <si>
    <t>Animals are held for variable periods; some overcrowding is observed, and welfare conditions are inconsistent.</t>
  </si>
  <si>
    <t>Holding durations are controlled, and most animals are kept in appropriate density and environmental conditions.</t>
  </si>
  <si>
    <t>Animals are held only for short, defined durations under species-appropriate density, ventilation, and welfare standards.</t>
  </si>
  <si>
    <t>Slaughtering occurs on-site without designated areas, hygiene controls, or supervision.</t>
  </si>
  <si>
    <t>Slaughtering takes place within the market but in loosely defined or multi-use areas.</t>
  </si>
  <si>
    <t>Dedicated slaughter areas are in place, though oversight or hygiene control may vary.</t>
  </si>
  <si>
    <t>The market is located far from wetlands or wildlife habitats, with environmental buffers or barriers in place.</t>
  </si>
  <si>
    <t>Vector species such as flies and rodents are widespread, with no control measures in place.</t>
  </si>
  <si>
    <t>Vector species are present but basic control (e.g. traps) is attempted inconsistently.</t>
  </si>
  <si>
    <t>Vector species are rarely observed due to regular pest control programs and structural safeguards.</t>
  </si>
  <si>
    <t>Most animals are removed at end of day, or kept in enclosed areas with basic biosecurity.</t>
  </si>
  <si>
    <t>Animals are either removed daily or held overnight in secure, biosecure, species-appropriate enclosures.</t>
  </si>
  <si>
    <t>Sick or dead animals are visible in the market without isolation or proper removal procedures.</t>
  </si>
  <si>
    <t>Sick or dead animals are present but are removed only after delays or public complaints.</t>
  </si>
  <si>
    <t>Sick or dead animals are rarely present, and protocols for their removal are usually followed.</t>
  </si>
  <si>
    <t>No sick or dead animals are observed due to effective early detection, isolation, and removal procedures.</t>
  </si>
  <si>
    <t>Animals are sourced from multiple unknown or unregistered locations, with no documentation or traceability.</t>
  </si>
  <si>
    <t>Animals come from a mix of sources, some of which are traceable, but records are inconsistent.</t>
  </si>
  <si>
    <t>Most animals come from known, documented sources with partial traceability.</t>
  </si>
  <si>
    <t>All animals originate from approved, registered sources with full documentation and traceability.</t>
  </si>
  <si>
    <t>Extensive contamination with visible blood, feathers, and faeces is observed throughout the market.</t>
  </si>
  <si>
    <t>Contamination is visible in several areas despite some cleaning efforts.</t>
  </si>
  <si>
    <t>Minor contamination is observed and cleaning appears routine but could be improved.</t>
  </si>
  <si>
    <t>Market is visibly clean and well maintained, with minimal signs of contamination and clear sanitation practices.</t>
  </si>
  <si>
    <t>No surveillance (active or passive) is conducted in or around the market.</t>
  </si>
  <si>
    <t>Passive surveillance exists informally, such as occasional observations by vendors or staff, but is not structured.</t>
  </si>
  <si>
    <t>Either active or passive surveillance is implemented regularly by responsible authorities or designated actors.</t>
  </si>
  <si>
    <t>Both active and passive surveillance are routinely and systematically conducted by trained personnel using a defined protocol.</t>
  </si>
  <si>
    <t>There is no legal or policy framework supporting surveillance, sampling, or data-sharing at the market level.</t>
  </si>
  <si>
    <t>A basic framework exists but is outdated, fragmented, or poorly known by stakeholders.</t>
  </si>
  <si>
    <t>A legal or regulatory framework exists and is partially implemented, but awareness or compliance varies.</t>
  </si>
  <si>
    <t>A formal, current legal framework exists and is well implemented, ensuring clear protocols for sampling, surveillance, and inter-agency data-sharing.</t>
  </si>
  <si>
    <t>Are there clear objectives for the surveillance activities in the market?</t>
  </si>
  <si>
    <t>Surveillance activities are unstructured, with no defined objectives or priorities.</t>
  </si>
  <si>
    <t>Some objectives exist but are vague, undocumented, or not known to those conducting surveillance.</t>
  </si>
  <si>
    <t>Objectives are defined and known by relevant actors, though not always linked to clear indicators or market risks.</t>
  </si>
  <si>
    <t>Surveillance is guided by clear, measurable objectives that are risk-based and aligned with public health and veterinary priorities.</t>
  </si>
  <si>
    <t>No reporting systems exist, and market actors are not informed of surveillance findings.</t>
  </si>
  <si>
    <t>Surveillance reports are prepared but not shared with the community or shared with significant delay.</t>
  </si>
  <si>
    <t>Reporting occurs in a timely manner and some feedback reaches market actors, though mechanisms are informal.</t>
  </si>
  <si>
    <t>Surveillance findings are reported promptly with an effective feedback loop to vendors, managers, and local stakeholders, enabling awareness and action.</t>
  </si>
  <si>
    <t>No samples are collected for laboratory testing from the market.</t>
  </si>
  <si>
    <t>Samples are occasionally collected but without systematic testing or analysis.</t>
  </si>
  <si>
    <t>Animal or environmental samples are submitted regularly and basic analysis is performed.</t>
  </si>
  <si>
    <t>Sample collection is routine and leads to structured laboratory testing with follow-up epidemiological analysis and reporting.</t>
  </si>
  <si>
    <t>No actions are taken as a result of surveillance findings, even if risks are identified.</t>
  </si>
  <si>
    <t>Actions are taken occasionally, often delayed or reactive, and lack consistency.</t>
  </si>
  <si>
    <t>Actions based on surveillance are implemented, though follow-up may be partial or unmonitored.</t>
  </si>
  <si>
    <t>Surveillance triggers defined, timely response actions with accountability, documentation, and follow-through.</t>
  </si>
  <si>
    <t>No data systems (manual or digital) are used for surveillance or warning.</t>
  </si>
  <si>
    <t>Basic manual records are kept but not centralized or shared.</t>
  </si>
  <si>
    <t>Either digital or manual systems are used for recording and tracking events and cases.</t>
  </si>
  <si>
    <t>Well-functioning digital or integrated systems are used for early warning, real-time data sharing, and coordination.</t>
  </si>
  <si>
    <t>Is there coordination with animal and public‑health authorities? (integrated One Health surveillance?)</t>
  </si>
  <si>
    <t>No coordination exists between animal health and public health authorities on surveillance.</t>
  </si>
  <si>
    <t>Limited coordination takes place occasionally, with no formal framework or regular interaction.</t>
  </si>
  <si>
    <t>Some coordination mechanisms are in place, such as joint meetings or information exchange, but may lack institutionalization.</t>
  </si>
  <si>
    <t>Integrated One Health surveillance is in place, with regular, formal coordination between animal and public health authorities.</t>
  </si>
  <si>
    <t>There is no record or awareness of previous zoonotic or pathogen detections in the market.</t>
  </si>
  <si>
    <t>Some knowledge exists based on informal memory or non-documented reports.</t>
  </si>
  <si>
    <t>Records of past detections are partially available and referenced occasionally.</t>
  </si>
  <si>
    <t>A clear and accessible record of pathogen detections and zoonotic events is maintained, reviewed, and used to inform current practices.</t>
  </si>
  <si>
    <t>Are there culturally appropriate signage and IEC (Information, Education, and Communication) materials on hygiene and disease prevention available?</t>
  </si>
  <si>
    <t>No signage or IEC materials are available in the market.</t>
  </si>
  <si>
    <t>Some signage or IEC materials are present, but they are generic, outdated, or not locally relevant.</t>
  </si>
  <si>
    <t>Culturally appropriate IEC materials are present in key locations, but may not fully address all hygiene and disease prevention needs.</t>
  </si>
  <si>
    <t>Comprehensive, culturally tailored IEC materials and signage on hygiene and disease prevention are prominently displayed and regularly updated throughout the market.</t>
  </si>
  <si>
    <t>Is there regular training for market vendors on workers on zoonoses, biosecurity, incidence reporting, etc.?</t>
  </si>
  <si>
    <t>No training is provided to market vendors or workers on relevant health topics.</t>
  </si>
  <si>
    <t>Training sessions are held infrequently or reach only a small number of participants.</t>
  </si>
  <si>
    <t>Training on zoonoses, biosecurity, and reporting occurs regularly for most market vendors and workers.</t>
  </si>
  <si>
    <t>Ongoing, structured training is provided to all vendors and workers with materials tailored to literacy levels and local context.</t>
  </si>
  <si>
    <t>No KAP assessments have been conducted, and no data is available.</t>
  </si>
  <si>
    <t>One-time or limited KAP assessments have been done, but data is not used or shared.</t>
  </si>
  <si>
    <t>KAP assessments have been conducted and data is partially available or outdated.</t>
  </si>
  <si>
    <t>Regular KAP assessments are conducted, and the data is accessible, used for planning, and shared with relevant stakeholders.</t>
  </si>
  <si>
    <t>No posters or risk communication materials are visible in the market.</t>
  </si>
  <si>
    <t>Some posters exist but are not adapted to the market layout, infrastructure, or target audiences.</t>
  </si>
  <si>
    <t>Posters and messaging materials are appropriate in content, but limited in coverage or location.</t>
  </si>
  <si>
    <t>Culturally relevant materials are strategically placed and clearly linked to the market infrastructure and identified risk areas.</t>
  </si>
  <si>
    <t>There is no mechanism for communication with communities during outbreaks or following surveillance activities.</t>
  </si>
  <si>
    <t>Communication is one-way and ad hoc, with little opportunity for community feedback.</t>
  </si>
  <si>
    <t>Some two-way channels exist, such as meetings or announcements, but they are inconsistently used.</t>
  </si>
  <si>
    <t>Formal two-way communication systems are in place, enabling timely information flow and community input during outbreaks and routine surveillance.</t>
  </si>
  <si>
    <t>Is there mapping of animal trade network (value-chain), movement routes and aggregation points? Is any traceability being performed?</t>
  </si>
  <si>
    <t>There is no mapping or understanding of the animal trade network, and no traceability is attempted.</t>
  </si>
  <si>
    <t>Some informal knowledge exists of routes or aggregation points, but it is undocumented and traceability is not practiced.</t>
  </si>
  <si>
    <t>Trade routes and aggregation points are partially mapped and traceability exists for select transactions.</t>
  </si>
  <si>
    <t>A comprehensive mapping of trade routes, aggregation points, and value-chain actors is available, with effective traceability systems routinely applied.</t>
  </si>
  <si>
    <t>The variety of species traded is unknown and not recorded; no species registration system is in place.</t>
  </si>
  <si>
    <t>Some species types are noted informally, but no systematic registration occurs.</t>
  </si>
  <si>
    <t>Most traded species are known and recorded periodically by market or veterinary staff.</t>
  </si>
  <si>
    <t>All species types traded are clearly recorded and regularly updated through a systematic registration process.</t>
  </si>
  <si>
    <t>What is the frequency and scale (volume) of trade? Are there daily or seasonal peak periods?</t>
  </si>
  <si>
    <t>No data exists on volume or frequency of trade; market activity is undocumented.</t>
  </si>
  <si>
    <t>Trade patterns are generally understood, but not recorded; peak periods are known anecdotally.</t>
  </si>
  <si>
    <t>Trade volume and peak periods are monitored occasionally through manual records or observation.</t>
  </si>
  <si>
    <t>Detailed data is routinely collected and analyzed on trade volume, frequency, and seasonal/daily peaks to inform market operations and risk planning.</t>
  </si>
  <si>
    <t>Sources and destinations of animals are not known; there is no record of animal origins or movements.</t>
  </si>
  <si>
    <t>Some knowledge exists, but it is anecdotal or limited to local movement.</t>
  </si>
  <si>
    <t>Most sources and destinations (including regional or cross-border) are known and sometimes recorded.</t>
  </si>
  <si>
    <t>All animal movements are documented with identified sources and destinations at local, regional, and cross-border levels.</t>
  </si>
  <si>
    <t>Cross-border and informal trade occurs regularly without oversight or records, posing significant risk.</t>
  </si>
  <si>
    <t>Informal or unregulated trade is known to occur occasionally, but is not monitored or addressed.</t>
  </si>
  <si>
    <t>Unregulated trade is limited, and there is partial oversight of cross-border movement.</t>
  </si>
  <si>
    <t>Cross-border trade is monitored and regulated, with systems in place to detect and respond to informal trade routes.</t>
  </si>
  <si>
    <t>No outbreak response plans or SOPs exist at the market level.</t>
  </si>
  <si>
    <t>Plans or SOPs exist but are outdated, generic, or not known by market stakeholders.</t>
  </si>
  <si>
    <t>Response plans and SOPs are available and known, but practice or drills are infrequent.</t>
  </si>
  <si>
    <t>Response plans and SOPs are in place, specific to the market, and regularly practised through drills or simulation exercises.</t>
  </si>
  <si>
    <t>No thresholds or triggers for escalation/de-escalation are defined.</t>
  </si>
  <si>
    <t>Some thresholds are discussed informally but not documented or standardized.</t>
  </si>
  <si>
    <t>Thresholds exist and are partially defined in response plans, but not always followed.</t>
  </si>
  <si>
    <t>Clearly defined and documented thresholds for emergency escalation/de-escalation are integrated into response procedures and known by relevant actors.</t>
  </si>
  <si>
    <t>No mechanisms exist for conducting risk assessments at the market level.</t>
  </si>
  <si>
    <t>Risk assessment mechanisms are referenced in plans, but rarely implemented.</t>
  </si>
  <si>
    <t>Risk assessments are conducted occasionally, using basic tools or checklists.</t>
  </si>
  <si>
    <t>Defined risk assessment mechanisms are in place and routinely applied using standardized methodologies.</t>
  </si>
  <si>
    <t>No isolation or quarantine areas exist; sick animals remain with others.</t>
  </si>
  <si>
    <t>Space is informally designated but not fit for purpose or rarely used.</t>
  </si>
  <si>
    <t>Isolation/quarantine areas are available and used when needed, but may lack proper equipment or containment.</t>
  </si>
  <si>
    <t>Clearly designated and functional isolation or quarantine spaces exist and are used according to health protocols.</t>
  </si>
  <si>
    <t>Emergency supplies are not available in the market.</t>
  </si>
  <si>
    <t>Some supplies (e.g. gloves or basic disinfectants) are available, but limited in quantity or type.</t>
  </si>
  <si>
    <t>Supplies are available for most emergency needs, but restocking or access may be an issue.</t>
  </si>
  <si>
    <t>A full stock of emergency sanitation supplies (including disinfectants and PPE) is available, maintained, and ready for deployment.</t>
  </si>
  <si>
    <t>Are simulation or tabletop exercises for emergency response being conducted?</t>
  </si>
  <si>
    <t>No simulation or tabletop exercises have been held.</t>
  </si>
  <si>
    <t>One-time or ad hoc exercises may have occurred but are not part of a regular schedule.</t>
  </si>
  <si>
    <t>Exercises are conducted occasionally with some participation from relevant market actors.</t>
  </si>
  <si>
    <t>Regularly scheduled simulation or tabletop exercises are conducted with multi-stakeholder participation and follow-up reviews.</t>
  </si>
  <si>
    <t>No training is provided on emergency preparedness.</t>
  </si>
  <si>
    <t>Basic training is provided sporadically or to a limited group of vendors.</t>
  </si>
  <si>
    <t>Training is provided regularly to most workers, though gaps in coverage or retention exist.</t>
  </si>
  <si>
    <t>All vendors and workers receive ongoing, structured emergency preparedness training adapted to their roles and responsibilities.</t>
  </si>
  <si>
    <t>Are there closure or restriction procedures for outbreaks events and are they documented?</t>
  </si>
  <si>
    <t>There are no procedures for closure or restriction in case of outbreaks.</t>
  </si>
  <si>
    <t>Closure or restriction decisions are made reactively and not based on documented procedures.</t>
  </si>
  <si>
    <t>Some documentation exists for market closure or restriction during outbreaks, but application is inconsistent.</t>
  </si>
  <si>
    <t>Clearly defined and documented procedures for closure or restriction during outbreaks exist and are well communicated and enforced when necessary.</t>
  </si>
  <si>
    <t>No formal communication channels or feedback mechanisms exist between stakeholders, communities, and authorities.</t>
  </si>
  <si>
    <t>Some informal communication occurs, but there are no structured or reliable ways for market users to provide feedback.</t>
  </si>
  <si>
    <t>Communication channels and feedback mechanisms are partially in place, but not used consistently or understood by all stakeholders.</t>
  </si>
  <si>
    <t>Clear, functional, and accessible communication channels exist for all stakeholders and communities, with active feedback mechanisms linking users to authorities.</t>
  </si>
  <si>
    <t>No stakeholder mapping or clarity of roles exists; lines of authority are unclear or informal.</t>
  </si>
  <si>
    <t>Some actors are identified, but roles, hierarchies, or reporting lines are fragmented or undocumented.</t>
  </si>
  <si>
    <t>Stakeholder mapping and reporting structures exist but may be incomplete or outdated.</t>
  </si>
  <si>
    <t>A full stakeholder map with defined roles, hierarchies, and clear reporting lines is available and used for coordination and accountability.</t>
  </si>
  <si>
    <t>No awareness or education efforts are ongoing in the market.</t>
  </si>
  <si>
    <t>One-time or generic education campaigns have occurred, but they are not culturally adapted or sustained.</t>
  </si>
  <si>
    <t>Awareness efforts are carried out occasionally and consider local context, though coverage may be limited.</t>
  </si>
  <si>
    <t>Continuous, culturally adapted awareness and education efforts are embedded in market operations and reach diverse stakeholders regularly.</t>
  </si>
  <si>
    <t>No engagement of vendors, traders, or transporters occurs in market health or improvement efforts.</t>
  </si>
  <si>
    <t>Engagement is minimal or limited to consultation without active participation.</t>
  </si>
  <si>
    <t>Stakeholders are engaged in certain programmes or improvements, but not consistently across all actors.</t>
  </si>
  <si>
    <t>Vendors, traders, and transporters are actively and consistently involved in planning and implementing biosecurity and disease-control activities.</t>
  </si>
  <si>
    <t>These groups are excluded from governance or decision-making processes.</t>
  </si>
  <si>
    <t>Limited or symbolic participation exists, without real influence or access.</t>
  </si>
  <si>
    <t>Women, marginalized groups, or smallholders participate in some decision-making forums.</t>
  </si>
  <si>
    <t>These groups are meaningfully and equitably included in governance structures, with active roles and influence.</t>
  </si>
  <si>
    <t>No associations or cooperatives exist or contribute to market safety.</t>
  </si>
  <si>
    <t>Some groups exist but have limited capacity or involvement in promoting safe trade.</t>
  </si>
  <si>
    <t>Vendor associations or cooperatives are active in parts of the market and support safe trade to some extent.</t>
  </si>
  <si>
    <t>Active, organized vendor associations or cooperatives play a central role in promoting, implementing, and monitoring safe trade practices in the market.</t>
  </si>
  <si>
    <t>Are clear communication channels present to engage all stakeholders, including local communities? Are there feedback mechanisms for market users to engage with authorities?</t>
  </si>
  <si>
    <t>Location (address)</t>
  </si>
  <si>
    <t>geo-location (country side, urban, peri-urban)</t>
  </si>
  <si>
    <t>accessibility</t>
  </si>
  <si>
    <t>ambient climate</t>
  </si>
  <si>
    <t>Climate</t>
  </si>
  <si>
    <t>Geo-setting</t>
  </si>
  <si>
    <t>local pathogen dynamics</t>
  </si>
  <si>
    <t>Demographic</t>
  </si>
  <si>
    <t>Cultural identity</t>
  </si>
  <si>
    <t>Accessibility</t>
  </si>
  <si>
    <t>Population density</t>
  </si>
  <si>
    <t>Education level</t>
  </si>
  <si>
    <t>season</t>
  </si>
  <si>
    <t>weather during survey</t>
  </si>
  <si>
    <t>rainfall</t>
  </si>
  <si>
    <t>proximity to wildlife exposure</t>
  </si>
  <si>
    <t>Behavioral health norms</t>
  </si>
  <si>
    <t>market type (description)</t>
  </si>
  <si>
    <t>Coordinates (if possible)</t>
  </si>
  <si>
    <t>Current Assessment</t>
  </si>
  <si>
    <t xml:space="preserve">Date </t>
  </si>
  <si>
    <t>Previous assessment 1</t>
  </si>
  <si>
    <t>Date</t>
  </si>
  <si>
    <t>Previous assessment 2</t>
  </si>
  <si>
    <t>Additional information:</t>
  </si>
  <si>
    <t>Affiliation</t>
  </si>
  <si>
    <t>Do market‑level rules/by‑laws exist and are they aligned with national policies?</t>
  </si>
  <si>
    <t>Species present</t>
  </si>
  <si>
    <t>domestic animals</t>
  </si>
  <si>
    <t>cage wildlife</t>
  </si>
  <si>
    <t>free roaming reservoir animals (rats etc)</t>
  </si>
  <si>
    <t>Slaughtering occurs only in designated, hygienic, and supervised areas that are separated from live animal zones. No slaughtering of animals.</t>
  </si>
  <si>
    <t>The market is near such habitats, but some mitigation (e.g. fencing or buffer zones) is in place.</t>
  </si>
  <si>
    <t>The market is adjacent to or within known wildlife habitats or wetlands, no mitigation (fencing) is present, creating a high risk of pathogen spillover.</t>
  </si>
  <si>
    <t>The market is located at a moderate distance with good separation or buffer from wildlife areas.</t>
  </si>
  <si>
    <t>Some control measures reduce vector populations, limited presence is still observed in specific zones.</t>
  </si>
  <si>
    <t>Some animals are kept overnight in shared or inappropriate facilities.</t>
  </si>
  <si>
    <t>Many animals remain onsite overnight in the open or in unsanitary, insecure holding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</si>
</sst>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1" fontId="1" fillId="0" borderId="4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top"/>
    </xf>
    <xf numFmtId="1" fontId="0" fillId="2" borderId="5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6" fillId="0" borderId="0" xfId="0" applyFont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0" fillId="0" borderId="14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0" xfId="0" applyFont="1"/>
    <xf numFmtId="0" fontId="7" fillId="0" borderId="0" xfId="0" applyFont="1"/>
    <xf numFmtId="0" fontId="6" fillId="2" borderId="9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1" fontId="0" fillId="3" borderId="0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1" fontId="0" fillId="3" borderId="7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" fontId="0" fillId="3" borderId="1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analysis!$B$3:$B$4</c:f>
              <c:strCache>
                <c:ptCount val="2"/>
                <c:pt idx="0">
                  <c:v>current score</c:v>
                </c:pt>
                <c:pt idx="1">
                  <c:v>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analysis!$A$5:$A$13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analysis!$B$5:$B$13</c:f>
              <c:numCache>
                <c:formatCode>0</c:formatCode>
                <c:ptCount val="9"/>
                <c:pt idx="0">
                  <c:v>87.5</c:v>
                </c:pt>
                <c:pt idx="1">
                  <c:v>75</c:v>
                </c:pt>
                <c:pt idx="2">
                  <c:v>75</c:v>
                </c:pt>
                <c:pt idx="3">
                  <c:v>30</c:v>
                </c:pt>
                <c:pt idx="4">
                  <c:v>55.000000000000007</c:v>
                </c:pt>
                <c:pt idx="5">
                  <c:v>60</c:v>
                </c:pt>
                <c:pt idx="6">
                  <c:v>66.666666666666657</c:v>
                </c:pt>
                <c:pt idx="7">
                  <c:v>50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7-4256-B6CA-8FBDC3565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751823"/>
        <c:axId val="1485748463"/>
      </c:radarChart>
      <c:catAx>
        <c:axId val="148575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48463"/>
        <c:crosses val="autoZero"/>
        <c:auto val="1"/>
        <c:lblAlgn val="ctr"/>
        <c:lblOffset val="100"/>
        <c:noMultiLvlLbl val="0"/>
      </c:catAx>
      <c:valAx>
        <c:axId val="1485748463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8575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analysis!$B$24</c:f>
              <c:strCache>
                <c:ptCount val="1"/>
                <c:pt idx="0">
                  <c:v>current score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analysis!$A$25:$A$34</c15:sqref>
                  </c15:fullRef>
                </c:ext>
              </c:extLst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analysis!$B$25:$B$34</c15:sqref>
                  </c15:fullRef>
                </c:ext>
              </c:extLst>
              <c:f>analysis!$B$26:$B$34</c:f>
              <c:numCache>
                <c:formatCode>0</c:formatCode>
                <c:ptCount val="9"/>
                <c:pt idx="0">
                  <c:v>87.5</c:v>
                </c:pt>
                <c:pt idx="1">
                  <c:v>75</c:v>
                </c:pt>
                <c:pt idx="2">
                  <c:v>75</c:v>
                </c:pt>
                <c:pt idx="3">
                  <c:v>30</c:v>
                </c:pt>
                <c:pt idx="4">
                  <c:v>55.000000000000007</c:v>
                </c:pt>
                <c:pt idx="5">
                  <c:v>60</c:v>
                </c:pt>
                <c:pt idx="6">
                  <c:v>66.666666666666657</c:v>
                </c:pt>
                <c:pt idx="7">
                  <c:v>50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4-454B-A902-38852626499E}"/>
            </c:ext>
          </c:extLst>
        </c:ser>
        <c:ser>
          <c:idx val="1"/>
          <c:order val="1"/>
          <c:tx>
            <c:strRef>
              <c:f>analysis!$C$24</c:f>
              <c:strCache>
                <c:ptCount val="1"/>
                <c:pt idx="0">
                  <c:v>previous 1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analysis!$A$25:$A$34</c15:sqref>
                  </c15:fullRef>
                </c:ext>
              </c:extLst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analysis!$C$25:$C$34</c15:sqref>
                  </c15:fullRef>
                </c:ext>
              </c:extLst>
              <c:f>analysis!$C$26:$C$34</c:f>
              <c:numCache>
                <c:formatCode>0</c:formatCode>
                <c:ptCount val="9"/>
                <c:pt idx="0">
                  <c:v>87.5</c:v>
                </c:pt>
                <c:pt idx="1">
                  <c:v>75</c:v>
                </c:pt>
                <c:pt idx="2">
                  <c:v>75</c:v>
                </c:pt>
                <c:pt idx="3">
                  <c:v>30</c:v>
                </c:pt>
                <c:pt idx="4">
                  <c:v>55.000000000000007</c:v>
                </c:pt>
                <c:pt idx="5">
                  <c:v>60</c:v>
                </c:pt>
                <c:pt idx="6">
                  <c:v>66.666666666666657</c:v>
                </c:pt>
                <c:pt idx="7">
                  <c:v>50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4-454B-A902-38852626499E}"/>
            </c:ext>
          </c:extLst>
        </c:ser>
        <c:ser>
          <c:idx val="2"/>
          <c:order val="2"/>
          <c:tx>
            <c:strRef>
              <c:f>analysis!$D$24</c:f>
              <c:strCache>
                <c:ptCount val="1"/>
                <c:pt idx="0">
                  <c:v>previous 2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analysis!$A$25:$A$34</c15:sqref>
                  </c15:fullRef>
                </c:ext>
              </c:extLst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analysis!$D$25:$D$34</c15:sqref>
                  </c15:fullRef>
                </c:ext>
              </c:extLst>
              <c:f>analysis!$D$26:$D$34</c:f>
              <c:numCache>
                <c:formatCode>0</c:formatCode>
                <c:ptCount val="9"/>
                <c:pt idx="0">
                  <c:v>87.5</c:v>
                </c:pt>
                <c:pt idx="1">
                  <c:v>75</c:v>
                </c:pt>
                <c:pt idx="2">
                  <c:v>75</c:v>
                </c:pt>
                <c:pt idx="3">
                  <c:v>30</c:v>
                </c:pt>
                <c:pt idx="4">
                  <c:v>55.000000000000007</c:v>
                </c:pt>
                <c:pt idx="5">
                  <c:v>60</c:v>
                </c:pt>
                <c:pt idx="6">
                  <c:v>66.666666666666657</c:v>
                </c:pt>
                <c:pt idx="7">
                  <c:v>50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4-454B-A902-388526264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731407"/>
        <c:axId val="899728527"/>
      </c:radarChart>
      <c:catAx>
        <c:axId val="8997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728527"/>
        <c:crosses val="autoZero"/>
        <c:auto val="1"/>
        <c:lblAlgn val="ctr"/>
        <c:lblOffset val="100"/>
        <c:noMultiLvlLbl val="0"/>
      </c:catAx>
      <c:valAx>
        <c:axId val="899728527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9973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analysis!$B$3:$B$4</c:f>
              <c:strCache>
                <c:ptCount val="2"/>
                <c:pt idx="0">
                  <c:v>current score</c:v>
                </c:pt>
                <c:pt idx="1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analysis!$A$5:$A$13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analysis!$B$5:$B$13</c:f>
              <c:numCache>
                <c:formatCode>0</c:formatCode>
                <c:ptCount val="9"/>
                <c:pt idx="0">
                  <c:v>87.5</c:v>
                </c:pt>
                <c:pt idx="1">
                  <c:v>75</c:v>
                </c:pt>
                <c:pt idx="2">
                  <c:v>75</c:v>
                </c:pt>
                <c:pt idx="3">
                  <c:v>30</c:v>
                </c:pt>
                <c:pt idx="4">
                  <c:v>55.000000000000007</c:v>
                </c:pt>
                <c:pt idx="5">
                  <c:v>60</c:v>
                </c:pt>
                <c:pt idx="6">
                  <c:v>66.666666666666657</c:v>
                </c:pt>
                <c:pt idx="7">
                  <c:v>50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3-4C54-9E0A-55FEED3EF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195887"/>
        <c:axId val="1647189167"/>
      </c:barChart>
      <c:catAx>
        <c:axId val="164719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89167"/>
        <c:crosses val="autoZero"/>
        <c:auto val="1"/>
        <c:lblAlgn val="ctr"/>
        <c:lblOffset val="100"/>
        <c:noMultiLvlLbl val="0"/>
      </c:catAx>
      <c:valAx>
        <c:axId val="164718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9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analysis!$B$24:$B$25</c:f>
              <c:strCache>
                <c:ptCount val="2"/>
                <c:pt idx="0">
                  <c:v>current score</c:v>
                </c:pt>
                <c:pt idx="1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analysis!$B$26:$B$34</c:f>
              <c:numCache>
                <c:formatCode>0</c:formatCode>
                <c:ptCount val="9"/>
                <c:pt idx="0">
                  <c:v>87.5</c:v>
                </c:pt>
                <c:pt idx="1">
                  <c:v>75</c:v>
                </c:pt>
                <c:pt idx="2">
                  <c:v>75</c:v>
                </c:pt>
                <c:pt idx="3">
                  <c:v>30</c:v>
                </c:pt>
                <c:pt idx="4">
                  <c:v>55.000000000000007</c:v>
                </c:pt>
                <c:pt idx="5">
                  <c:v>60</c:v>
                </c:pt>
                <c:pt idx="6">
                  <c:v>66.666666666666657</c:v>
                </c:pt>
                <c:pt idx="7">
                  <c:v>50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7-4B2B-B26B-182330D6D49D}"/>
            </c:ext>
          </c:extLst>
        </c:ser>
        <c:ser>
          <c:idx val="1"/>
          <c:order val="1"/>
          <c:tx>
            <c:strRef>
              <c:f>analysis!$C$24:$C$25</c:f>
              <c:strCache>
                <c:ptCount val="2"/>
                <c:pt idx="0">
                  <c:v>previous 1</c:v>
                </c:pt>
                <c:pt idx="1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analysis!$C$26:$C$34</c:f>
              <c:numCache>
                <c:formatCode>0</c:formatCode>
                <c:ptCount val="9"/>
                <c:pt idx="0">
                  <c:v>87.5</c:v>
                </c:pt>
                <c:pt idx="1">
                  <c:v>75</c:v>
                </c:pt>
                <c:pt idx="2">
                  <c:v>75</c:v>
                </c:pt>
                <c:pt idx="3">
                  <c:v>30</c:v>
                </c:pt>
                <c:pt idx="4">
                  <c:v>55.000000000000007</c:v>
                </c:pt>
                <c:pt idx="5">
                  <c:v>60</c:v>
                </c:pt>
                <c:pt idx="6">
                  <c:v>66.666666666666657</c:v>
                </c:pt>
                <c:pt idx="7">
                  <c:v>50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7-4B2B-B26B-182330D6D49D}"/>
            </c:ext>
          </c:extLst>
        </c:ser>
        <c:ser>
          <c:idx val="2"/>
          <c:order val="2"/>
          <c:tx>
            <c:strRef>
              <c:f>analysis!$D$24:$D$25</c:f>
              <c:strCache>
                <c:ptCount val="2"/>
                <c:pt idx="0">
                  <c:v>previous 2</c:v>
                </c:pt>
                <c:pt idx="1">
                  <c:v>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analysis!$D$26:$D$34</c:f>
              <c:numCache>
                <c:formatCode>0</c:formatCode>
                <c:ptCount val="9"/>
                <c:pt idx="0">
                  <c:v>87.5</c:v>
                </c:pt>
                <c:pt idx="1">
                  <c:v>75</c:v>
                </c:pt>
                <c:pt idx="2">
                  <c:v>75</c:v>
                </c:pt>
                <c:pt idx="3">
                  <c:v>30</c:v>
                </c:pt>
                <c:pt idx="4">
                  <c:v>55.000000000000007</c:v>
                </c:pt>
                <c:pt idx="5">
                  <c:v>60</c:v>
                </c:pt>
                <c:pt idx="6">
                  <c:v>66.666666666666657</c:v>
                </c:pt>
                <c:pt idx="7">
                  <c:v>50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7-4B2B-B26B-182330D6D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184367"/>
        <c:axId val="1647181967"/>
      </c:barChart>
      <c:catAx>
        <c:axId val="164718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81967"/>
        <c:crosses val="autoZero"/>
        <c:auto val="1"/>
        <c:lblAlgn val="ctr"/>
        <c:lblOffset val="100"/>
        <c:noMultiLvlLbl val="0"/>
      </c:catAx>
      <c:valAx>
        <c:axId val="164718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8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4761</xdr:rowOff>
    </xdr:from>
    <xdr:to>
      <xdr:col>13</xdr:col>
      <xdr:colOff>495300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8A017-3466-1156-BD98-DD52B7A6A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23</xdr:row>
      <xdr:rowOff>14287</xdr:rowOff>
    </xdr:from>
    <xdr:to>
      <xdr:col>14</xdr:col>
      <xdr:colOff>600075</xdr:colOff>
      <xdr:row>48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81D2A-D0EC-13D5-0F4F-801F8B93E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209550</xdr:colOff>
      <xdr:row>1</xdr:row>
      <xdr:rowOff>14286</xdr:rowOff>
    </xdr:from>
    <xdr:to>
      <xdr:col>21</xdr:col>
      <xdr:colOff>514350</xdr:colOff>
      <xdr:row>19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1FD45C-98BE-EAC0-1525-6B2FADC7A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190500</xdr:colOff>
      <xdr:row>23</xdr:row>
      <xdr:rowOff>14287</xdr:rowOff>
    </xdr:from>
    <xdr:to>
      <xdr:col>22</xdr:col>
      <xdr:colOff>495300</xdr:colOff>
      <xdr:row>42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9FF779-CB6B-C969-C4E9-BE21CF97E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08EF-0480-4AF0-9EB8-D284A4AEBC49}">
  <dimension ref="A3:A48"/>
  <sheetViews>
    <sheetView workbookViewId="0">
      <selection activeCell="A49" sqref="A49"/>
    </sheetView>
  </sheetViews>
  <sheetFormatPr defaultRowHeight="15" x14ac:dyDescent="0.25"/>
  <cols>
    <col min="1" max="1" width="46.85546875" customWidth="1"/>
    <col min="2" max="2" width="23.5703125" customWidth="1"/>
  </cols>
  <sheetData>
    <row r="3" spans="1:1" x14ac:dyDescent="0.25">
      <c r="A3" s="8" t="s">
        <v>0</v>
      </c>
    </row>
    <row r="4" spans="1:1" x14ac:dyDescent="0.25">
      <c r="A4" t="s">
        <v>337</v>
      </c>
    </row>
    <row r="5" spans="1:1" x14ac:dyDescent="0.25">
      <c r="A5" t="s">
        <v>355</v>
      </c>
    </row>
    <row r="6" spans="1:1" x14ac:dyDescent="0.25">
      <c r="A6" t="s">
        <v>1</v>
      </c>
    </row>
    <row r="8" spans="1:1" x14ac:dyDescent="0.25">
      <c r="A8" s="8" t="s">
        <v>356</v>
      </c>
    </row>
    <row r="9" spans="1:1" x14ac:dyDescent="0.25">
      <c r="A9" s="41" t="s">
        <v>357</v>
      </c>
    </row>
    <row r="10" spans="1:1" x14ac:dyDescent="0.25">
      <c r="A10" t="s">
        <v>2</v>
      </c>
    </row>
    <row r="11" spans="1:1" x14ac:dyDescent="0.25">
      <c r="A11" t="s">
        <v>362</v>
      </c>
    </row>
    <row r="13" spans="1:1" x14ac:dyDescent="0.25">
      <c r="A13" s="21" t="s">
        <v>358</v>
      </c>
    </row>
    <row r="14" spans="1:1" x14ac:dyDescent="0.25">
      <c r="A14" s="41" t="s">
        <v>359</v>
      </c>
    </row>
    <row r="15" spans="1:1" x14ac:dyDescent="0.25">
      <c r="A15" t="s">
        <v>2</v>
      </c>
    </row>
    <row r="16" spans="1:1" x14ac:dyDescent="0.25">
      <c r="A16" t="s">
        <v>362</v>
      </c>
    </row>
    <row r="18" spans="1:1" x14ac:dyDescent="0.25">
      <c r="A18" s="21" t="s">
        <v>360</v>
      </c>
    </row>
    <row r="19" spans="1:1" x14ac:dyDescent="0.25">
      <c r="A19" s="41" t="s">
        <v>359</v>
      </c>
    </row>
    <row r="20" spans="1:1" x14ac:dyDescent="0.25">
      <c r="A20" t="s">
        <v>2</v>
      </c>
    </row>
    <row r="21" spans="1:1" x14ac:dyDescent="0.25">
      <c r="A21" t="s">
        <v>362</v>
      </c>
    </row>
    <row r="23" spans="1:1" x14ac:dyDescent="0.25">
      <c r="A23" s="42" t="s">
        <v>361</v>
      </c>
    </row>
    <row r="25" spans="1:1" x14ac:dyDescent="0.25">
      <c r="A25" s="8" t="s">
        <v>342</v>
      </c>
    </row>
    <row r="26" spans="1:1" x14ac:dyDescent="0.25">
      <c r="A26" s="41" t="s">
        <v>354</v>
      </c>
    </row>
    <row r="27" spans="1:1" x14ac:dyDescent="0.25">
      <c r="A27" t="s">
        <v>338</v>
      </c>
    </row>
    <row r="28" spans="1:1" x14ac:dyDescent="0.25">
      <c r="A28" t="s">
        <v>343</v>
      </c>
    </row>
    <row r="29" spans="1:1" x14ac:dyDescent="0.25">
      <c r="A29" t="s">
        <v>339</v>
      </c>
    </row>
    <row r="30" spans="1:1" x14ac:dyDescent="0.25">
      <c r="A30" t="s">
        <v>352</v>
      </c>
    </row>
    <row r="32" spans="1:1" x14ac:dyDescent="0.25">
      <c r="A32" s="8" t="s">
        <v>341</v>
      </c>
    </row>
    <row r="33" spans="1:1" x14ac:dyDescent="0.25">
      <c r="A33" t="s">
        <v>340</v>
      </c>
    </row>
    <row r="34" spans="1:1" x14ac:dyDescent="0.25">
      <c r="A34" t="s">
        <v>349</v>
      </c>
    </row>
    <row r="35" spans="1:1" x14ac:dyDescent="0.25">
      <c r="A35" t="s">
        <v>351</v>
      </c>
    </row>
    <row r="36" spans="1:1" x14ac:dyDescent="0.25">
      <c r="A36" t="s">
        <v>350</v>
      </c>
    </row>
    <row r="38" spans="1:1" x14ac:dyDescent="0.25">
      <c r="A38" s="8" t="s">
        <v>344</v>
      </c>
    </row>
    <row r="39" spans="1:1" x14ac:dyDescent="0.25">
      <c r="A39" t="s">
        <v>345</v>
      </c>
    </row>
    <row r="40" spans="1:1" x14ac:dyDescent="0.25">
      <c r="A40" t="s">
        <v>346</v>
      </c>
    </row>
    <row r="41" spans="1:1" x14ac:dyDescent="0.25">
      <c r="A41" t="s">
        <v>347</v>
      </c>
    </row>
    <row r="42" spans="1:1" x14ac:dyDescent="0.25">
      <c r="A42" t="s">
        <v>348</v>
      </c>
    </row>
    <row r="43" spans="1:1" x14ac:dyDescent="0.25">
      <c r="A43" t="s">
        <v>353</v>
      </c>
    </row>
    <row r="45" spans="1:1" x14ac:dyDescent="0.25">
      <c r="A45" s="8" t="s">
        <v>364</v>
      </c>
    </row>
    <row r="46" spans="1:1" x14ac:dyDescent="0.25">
      <c r="A46" t="s">
        <v>365</v>
      </c>
    </row>
    <row r="47" spans="1:1" x14ac:dyDescent="0.25">
      <c r="A47" t="s">
        <v>366</v>
      </c>
    </row>
    <row r="48" spans="1:1" x14ac:dyDescent="0.25">
      <c r="A48" t="s">
        <v>367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0FFD-719A-4A8C-9953-F2CDE3394657}">
  <dimension ref="A1:Q64"/>
  <sheetViews>
    <sheetView tabSelected="1" topLeftCell="A56" zoomScale="90" zoomScaleNormal="90" workbookViewId="0">
      <selection activeCell="C50" sqref="C50"/>
    </sheetView>
  </sheetViews>
  <sheetFormatPr defaultRowHeight="15" x14ac:dyDescent="0.25"/>
  <cols>
    <col min="1" max="1" width="23.140625" customWidth="1"/>
    <col min="2" max="2" width="41.28515625" customWidth="1"/>
    <col min="3" max="3" width="32" customWidth="1"/>
    <col min="4" max="4" width="36" customWidth="1"/>
    <col min="5" max="5" width="35.42578125" customWidth="1"/>
    <col min="6" max="6" width="43.42578125" customWidth="1"/>
    <col min="7" max="7" width="11" style="3" customWidth="1"/>
    <col min="8" max="8" width="13.140625" style="4" customWidth="1"/>
    <col min="9" max="9" width="9.140625" style="3"/>
    <col min="11" max="11" width="13.42578125" customWidth="1"/>
    <col min="12" max="12" width="13" customWidth="1"/>
    <col min="15" max="16" width="13.85546875" customWidth="1"/>
  </cols>
  <sheetData>
    <row r="1" spans="1:17" ht="26.25" x14ac:dyDescent="0.4">
      <c r="A1" s="2" t="s">
        <v>3</v>
      </c>
      <c r="C1" s="1"/>
      <c r="D1" s="1"/>
      <c r="E1" s="1"/>
      <c r="F1" s="1"/>
    </row>
    <row r="2" spans="1:17" x14ac:dyDescent="0.25">
      <c r="B2" s="1"/>
      <c r="C2" s="1"/>
      <c r="D2" s="1"/>
      <c r="E2" s="1"/>
      <c r="F2" s="1"/>
    </row>
    <row r="3" spans="1:17" ht="43.5" customHeight="1" x14ac:dyDescent="0.25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4" t="s">
        <v>10</v>
      </c>
      <c r="H3" s="15" t="s">
        <v>11</v>
      </c>
      <c r="I3" s="15" t="s">
        <v>12</v>
      </c>
      <c r="K3" s="14" t="s">
        <v>13</v>
      </c>
      <c r="L3" s="14" t="s">
        <v>11</v>
      </c>
      <c r="M3" s="18" t="s">
        <v>12</v>
      </c>
      <c r="O3" s="14" t="s">
        <v>14</v>
      </c>
      <c r="P3" s="14" t="s">
        <v>11</v>
      </c>
      <c r="Q3" s="18" t="s">
        <v>12</v>
      </c>
    </row>
    <row r="4" spans="1:17" ht="94.5" customHeight="1" x14ac:dyDescent="0.25">
      <c r="A4" s="28" t="s">
        <v>15</v>
      </c>
      <c r="B4" s="35" t="s">
        <v>40</v>
      </c>
      <c r="C4" s="34" t="s">
        <v>89</v>
      </c>
      <c r="D4" s="34" t="s">
        <v>86</v>
      </c>
      <c r="E4" s="34" t="s">
        <v>87</v>
      </c>
      <c r="F4" s="34" t="s">
        <v>88</v>
      </c>
      <c r="G4" s="16">
        <v>4</v>
      </c>
      <c r="H4" s="17">
        <f>AVERAGE(G4:G10)</f>
        <v>3.5</v>
      </c>
      <c r="I4" s="17">
        <f>H4/4*100</f>
        <v>87.5</v>
      </c>
      <c r="K4" s="16">
        <v>4</v>
      </c>
      <c r="L4" s="17">
        <f>AVERAGE(K4:K10)</f>
        <v>3.5</v>
      </c>
      <c r="M4" s="17">
        <f>L4/4*100</f>
        <v>87.5</v>
      </c>
      <c r="O4" s="16">
        <v>4</v>
      </c>
      <c r="P4" s="17">
        <f>AVERAGE(O4:O10)</f>
        <v>3.5</v>
      </c>
      <c r="Q4" s="17">
        <f>P4/4*100</f>
        <v>87.5</v>
      </c>
    </row>
    <row r="5" spans="1:17" ht="67.5" customHeight="1" x14ac:dyDescent="0.25">
      <c r="A5" s="29"/>
      <c r="B5" s="35" t="s">
        <v>39</v>
      </c>
      <c r="C5" s="34" t="s">
        <v>90</v>
      </c>
      <c r="D5" s="34" t="s">
        <v>91</v>
      </c>
      <c r="E5" s="34" t="s">
        <v>92</v>
      </c>
      <c r="F5" s="34" t="s">
        <v>93</v>
      </c>
      <c r="G5" s="16">
        <v>4</v>
      </c>
      <c r="H5" s="51"/>
      <c r="I5" s="52"/>
      <c r="K5" s="16">
        <v>4</v>
      </c>
      <c r="L5" s="53"/>
      <c r="M5" s="54"/>
      <c r="O5" s="16">
        <v>4</v>
      </c>
      <c r="P5" s="22"/>
      <c r="Q5" s="23"/>
    </row>
    <row r="6" spans="1:17" ht="81.75" customHeight="1" x14ac:dyDescent="0.25">
      <c r="A6" s="29"/>
      <c r="B6" s="35" t="s">
        <v>41</v>
      </c>
      <c r="C6" s="34" t="s">
        <v>94</v>
      </c>
      <c r="D6" s="34" t="s">
        <v>95</v>
      </c>
      <c r="E6" s="34" t="s">
        <v>96</v>
      </c>
      <c r="F6" s="34" t="s">
        <v>97</v>
      </c>
      <c r="G6" s="16">
        <v>2</v>
      </c>
      <c r="H6" s="59"/>
      <c r="I6" s="60"/>
      <c r="K6" s="16">
        <v>2</v>
      </c>
      <c r="L6" s="55"/>
      <c r="M6" s="56"/>
      <c r="O6" s="16">
        <v>2</v>
      </c>
      <c r="P6" s="24"/>
      <c r="Q6" s="25"/>
    </row>
    <row r="7" spans="1:17" ht="80.25" customHeight="1" x14ac:dyDescent="0.25">
      <c r="A7" s="29"/>
      <c r="B7" s="35" t="s">
        <v>98</v>
      </c>
      <c r="C7" s="34" t="s">
        <v>99</v>
      </c>
      <c r="D7" s="34" t="s">
        <v>100</v>
      </c>
      <c r="E7" s="34" t="s">
        <v>101</v>
      </c>
      <c r="F7" s="34" t="s">
        <v>102</v>
      </c>
      <c r="G7" s="16">
        <v>4</v>
      </c>
      <c r="H7" s="59"/>
      <c r="I7" s="60"/>
      <c r="K7" s="16">
        <v>4</v>
      </c>
      <c r="L7" s="55"/>
      <c r="M7" s="56"/>
      <c r="O7" s="16">
        <v>4</v>
      </c>
      <c r="P7" s="24"/>
      <c r="Q7" s="25"/>
    </row>
    <row r="8" spans="1:17" ht="80.25" customHeight="1" x14ac:dyDescent="0.25">
      <c r="A8" s="29"/>
      <c r="B8" s="35" t="s">
        <v>363</v>
      </c>
      <c r="C8" s="34" t="s">
        <v>103</v>
      </c>
      <c r="D8" s="34" t="s">
        <v>104</v>
      </c>
      <c r="E8" s="34" t="s">
        <v>105</v>
      </c>
      <c r="F8" s="34" t="s">
        <v>106</v>
      </c>
      <c r="G8" s="16"/>
      <c r="H8" s="59"/>
      <c r="I8" s="60"/>
      <c r="K8" s="16"/>
      <c r="L8" s="55"/>
      <c r="M8" s="56"/>
      <c r="O8" s="16"/>
      <c r="P8" s="24"/>
      <c r="Q8" s="25"/>
    </row>
    <row r="9" spans="1:17" ht="69.75" customHeight="1" x14ac:dyDescent="0.25">
      <c r="A9" s="29"/>
      <c r="B9" s="35" t="s">
        <v>38</v>
      </c>
      <c r="C9" s="34" t="s">
        <v>107</v>
      </c>
      <c r="D9" s="34" t="s">
        <v>108</v>
      </c>
      <c r="E9" s="34" t="s">
        <v>109</v>
      </c>
      <c r="F9" s="34" t="s">
        <v>110</v>
      </c>
      <c r="G9" s="16">
        <v>3</v>
      </c>
      <c r="H9" s="59"/>
      <c r="I9" s="60"/>
      <c r="K9" s="16">
        <v>3</v>
      </c>
      <c r="L9" s="55"/>
      <c r="M9" s="56"/>
      <c r="O9" s="16">
        <v>3</v>
      </c>
      <c r="P9" s="24"/>
      <c r="Q9" s="25"/>
    </row>
    <row r="10" spans="1:17" ht="69.75" customHeight="1" x14ac:dyDescent="0.25">
      <c r="A10" s="30"/>
      <c r="B10" s="43" t="s">
        <v>111</v>
      </c>
      <c r="C10" s="44" t="s">
        <v>112</v>
      </c>
      <c r="D10" s="44" t="s">
        <v>113</v>
      </c>
      <c r="E10" s="44" t="s">
        <v>114</v>
      </c>
      <c r="F10" s="45" t="s">
        <v>115</v>
      </c>
      <c r="G10" s="16">
        <v>4</v>
      </c>
      <c r="H10" s="61"/>
      <c r="I10" s="62"/>
      <c r="K10" s="16">
        <v>4</v>
      </c>
      <c r="L10" s="57"/>
      <c r="M10" s="58"/>
      <c r="O10" s="16">
        <v>4</v>
      </c>
      <c r="P10" s="26"/>
      <c r="Q10" s="27"/>
    </row>
    <row r="11" spans="1:17" ht="71.25" customHeight="1" x14ac:dyDescent="0.25">
      <c r="A11" s="31" t="s">
        <v>16</v>
      </c>
      <c r="B11" s="36" t="s">
        <v>116</v>
      </c>
      <c r="C11" s="34" t="s">
        <v>117</v>
      </c>
      <c r="D11" s="34" t="s">
        <v>118</v>
      </c>
      <c r="E11" s="34" t="s">
        <v>119</v>
      </c>
      <c r="F11" s="34" t="s">
        <v>120</v>
      </c>
      <c r="G11" s="16">
        <v>2</v>
      </c>
      <c r="H11" s="17">
        <f t="shared" ref="H11:H17" si="0">AVERAGE(G11:G16)</f>
        <v>3</v>
      </c>
      <c r="I11" s="17">
        <f t="shared" ref="I11:I59" si="1">H11/4*100</f>
        <v>75</v>
      </c>
      <c r="K11" s="16">
        <v>2</v>
      </c>
      <c r="L11" s="17">
        <f t="shared" ref="L11" si="2">AVERAGE(K11:K16)</f>
        <v>3</v>
      </c>
      <c r="M11" s="17">
        <f t="shared" ref="M11" si="3">L11/4*100</f>
        <v>75</v>
      </c>
      <c r="O11" s="16">
        <v>2</v>
      </c>
      <c r="P11" s="17">
        <f t="shared" ref="P11" si="4">AVERAGE(O11:O16)</f>
        <v>3</v>
      </c>
      <c r="Q11" s="17">
        <f t="shared" ref="Q11" si="5">P11/4*100</f>
        <v>75</v>
      </c>
    </row>
    <row r="12" spans="1:17" ht="75" x14ac:dyDescent="0.25">
      <c r="A12" s="32"/>
      <c r="B12" s="36" t="s">
        <v>43</v>
      </c>
      <c r="C12" s="34" t="s">
        <v>121</v>
      </c>
      <c r="D12" s="34" t="s">
        <v>122</v>
      </c>
      <c r="E12" s="34" t="s">
        <v>123</v>
      </c>
      <c r="F12" s="34" t="s">
        <v>124</v>
      </c>
      <c r="G12" s="16">
        <v>4</v>
      </c>
      <c r="H12" s="51"/>
      <c r="I12" s="52"/>
      <c r="K12" s="16">
        <v>4</v>
      </c>
      <c r="L12" s="53"/>
      <c r="M12" s="54"/>
      <c r="O12" s="16">
        <v>4</v>
      </c>
      <c r="P12" s="22"/>
      <c r="Q12" s="23"/>
    </row>
    <row r="13" spans="1:17" ht="65.25" customHeight="1" x14ac:dyDescent="0.25">
      <c r="A13" s="32"/>
      <c r="B13" s="36" t="s">
        <v>42</v>
      </c>
      <c r="C13" s="34" t="s">
        <v>125</v>
      </c>
      <c r="D13" s="34" t="s">
        <v>126</v>
      </c>
      <c r="E13" s="34" t="s">
        <v>127</v>
      </c>
      <c r="F13" s="34" t="s">
        <v>128</v>
      </c>
      <c r="G13" s="16">
        <v>3</v>
      </c>
      <c r="H13" s="59"/>
      <c r="I13" s="60"/>
      <c r="K13" s="16">
        <v>3</v>
      </c>
      <c r="L13" s="55"/>
      <c r="M13" s="56"/>
      <c r="O13" s="16">
        <v>3</v>
      </c>
      <c r="P13" s="24"/>
      <c r="Q13" s="25"/>
    </row>
    <row r="14" spans="1:17" ht="68.25" customHeight="1" x14ac:dyDescent="0.25">
      <c r="A14" s="32"/>
      <c r="B14" s="36" t="s">
        <v>129</v>
      </c>
      <c r="C14" s="34" t="s">
        <v>130</v>
      </c>
      <c r="D14" s="34" t="s">
        <v>131</v>
      </c>
      <c r="E14" s="34" t="s">
        <v>132</v>
      </c>
      <c r="F14" s="34" t="s">
        <v>133</v>
      </c>
      <c r="G14" s="16">
        <v>4</v>
      </c>
      <c r="H14" s="59"/>
      <c r="I14" s="60"/>
      <c r="K14" s="16">
        <v>4</v>
      </c>
      <c r="L14" s="55"/>
      <c r="M14" s="56"/>
      <c r="O14" s="16">
        <v>4</v>
      </c>
      <c r="P14" s="24"/>
      <c r="Q14" s="25"/>
    </row>
    <row r="15" spans="1:17" ht="60" x14ac:dyDescent="0.25">
      <c r="A15" s="32"/>
      <c r="B15" s="36" t="s">
        <v>44</v>
      </c>
      <c r="C15" s="34" t="s">
        <v>134</v>
      </c>
      <c r="D15" s="34" t="s">
        <v>135</v>
      </c>
      <c r="E15" s="34" t="s">
        <v>136</v>
      </c>
      <c r="F15" s="34" t="s">
        <v>137</v>
      </c>
      <c r="G15" s="16">
        <v>4</v>
      </c>
      <c r="H15" s="59"/>
      <c r="I15" s="60"/>
      <c r="K15" s="16">
        <v>4</v>
      </c>
      <c r="L15" s="55"/>
      <c r="M15" s="56"/>
      <c r="O15" s="16">
        <v>4</v>
      </c>
      <c r="P15" s="24"/>
      <c r="Q15" s="25"/>
    </row>
    <row r="16" spans="1:17" ht="75" customHeight="1" x14ac:dyDescent="0.25">
      <c r="A16" s="33"/>
      <c r="B16" s="46" t="s">
        <v>138</v>
      </c>
      <c r="C16" s="44" t="s">
        <v>139</v>
      </c>
      <c r="D16" s="44" t="s">
        <v>140</v>
      </c>
      <c r="E16" s="44" t="s">
        <v>141</v>
      </c>
      <c r="F16" s="45" t="s">
        <v>142</v>
      </c>
      <c r="G16" s="16">
        <v>1</v>
      </c>
      <c r="H16" s="61"/>
      <c r="I16" s="62"/>
      <c r="K16" s="16">
        <v>1</v>
      </c>
      <c r="L16" s="57"/>
      <c r="M16" s="58"/>
      <c r="O16" s="16">
        <v>1</v>
      </c>
      <c r="P16" s="26"/>
      <c r="Q16" s="27"/>
    </row>
    <row r="17" spans="1:17" ht="82.5" customHeight="1" x14ac:dyDescent="0.25">
      <c r="A17" s="28" t="s">
        <v>45</v>
      </c>
      <c r="B17" s="35" t="s">
        <v>51</v>
      </c>
      <c r="C17" s="34" t="s">
        <v>143</v>
      </c>
      <c r="D17" s="34" t="s">
        <v>144</v>
      </c>
      <c r="E17" s="34" t="s">
        <v>145</v>
      </c>
      <c r="F17" s="34" t="s">
        <v>146</v>
      </c>
      <c r="G17" s="16">
        <v>1</v>
      </c>
      <c r="H17" s="17">
        <f t="shared" si="0"/>
        <v>3</v>
      </c>
      <c r="I17" s="17">
        <f t="shared" si="1"/>
        <v>75</v>
      </c>
      <c r="K17" s="16">
        <v>1</v>
      </c>
      <c r="L17" s="17">
        <f t="shared" ref="L17" si="6">AVERAGE(K17:K22)</f>
        <v>3</v>
      </c>
      <c r="M17" s="17">
        <f t="shared" ref="M17" si="7">L17/4*100</f>
        <v>75</v>
      </c>
      <c r="O17" s="16">
        <v>1</v>
      </c>
      <c r="P17" s="17">
        <f t="shared" ref="P17" si="8">AVERAGE(O17:O22)</f>
        <v>3</v>
      </c>
      <c r="Q17" s="17">
        <f t="shared" ref="Q17" si="9">P17/4*100</f>
        <v>75</v>
      </c>
    </row>
    <row r="18" spans="1:17" ht="75" x14ac:dyDescent="0.25">
      <c r="A18" s="29"/>
      <c r="B18" s="35" t="s">
        <v>46</v>
      </c>
      <c r="C18" s="34" t="s">
        <v>147</v>
      </c>
      <c r="D18" s="34" t="s">
        <v>148</v>
      </c>
      <c r="E18" s="34" t="s">
        <v>149</v>
      </c>
      <c r="F18" s="34" t="s">
        <v>150</v>
      </c>
      <c r="G18" s="16">
        <v>4</v>
      </c>
      <c r="H18" s="51"/>
      <c r="I18" s="52"/>
      <c r="K18" s="16">
        <v>4</v>
      </c>
      <c r="L18" s="53"/>
      <c r="M18" s="54"/>
      <c r="O18" s="16">
        <v>4</v>
      </c>
      <c r="P18" s="22"/>
      <c r="Q18" s="23"/>
    </row>
    <row r="19" spans="1:17" ht="66.75" customHeight="1" x14ac:dyDescent="0.25">
      <c r="A19" s="29"/>
      <c r="B19" s="35" t="s">
        <v>49</v>
      </c>
      <c r="C19" s="34" t="s">
        <v>151</v>
      </c>
      <c r="D19" s="34" t="s">
        <v>152</v>
      </c>
      <c r="E19" s="34" t="s">
        <v>153</v>
      </c>
      <c r="F19" s="34" t="s">
        <v>154</v>
      </c>
      <c r="G19" s="16">
        <v>2</v>
      </c>
      <c r="H19" s="59"/>
      <c r="I19" s="60"/>
      <c r="K19" s="16">
        <v>2</v>
      </c>
      <c r="L19" s="55"/>
      <c r="M19" s="56"/>
      <c r="O19" s="16">
        <v>2</v>
      </c>
      <c r="P19" s="24"/>
      <c r="Q19" s="25"/>
    </row>
    <row r="20" spans="1:17" ht="64.5" customHeight="1" x14ac:dyDescent="0.25">
      <c r="A20" s="29"/>
      <c r="B20" s="35" t="s">
        <v>48</v>
      </c>
      <c r="C20" s="34" t="s">
        <v>155</v>
      </c>
      <c r="D20" s="34" t="s">
        <v>156</v>
      </c>
      <c r="E20" s="34" t="s">
        <v>157</v>
      </c>
      <c r="F20" s="34" t="s">
        <v>158</v>
      </c>
      <c r="G20" s="16">
        <v>3</v>
      </c>
      <c r="H20" s="59"/>
      <c r="I20" s="60"/>
      <c r="K20" s="16">
        <v>3</v>
      </c>
      <c r="L20" s="55"/>
      <c r="M20" s="56"/>
      <c r="O20" s="16">
        <v>3</v>
      </c>
      <c r="P20" s="24"/>
      <c r="Q20" s="25"/>
    </row>
    <row r="21" spans="1:17" ht="66.75" customHeight="1" x14ac:dyDescent="0.25">
      <c r="A21" s="29"/>
      <c r="B21" s="35" t="s">
        <v>47</v>
      </c>
      <c r="C21" s="34" t="s">
        <v>159</v>
      </c>
      <c r="D21" s="34" t="s">
        <v>160</v>
      </c>
      <c r="E21" s="34" t="s">
        <v>161</v>
      </c>
      <c r="F21" s="34" t="s">
        <v>162</v>
      </c>
      <c r="G21" s="16">
        <v>4</v>
      </c>
      <c r="H21" s="59"/>
      <c r="I21" s="60"/>
      <c r="K21" s="16">
        <v>4</v>
      </c>
      <c r="L21" s="55"/>
      <c r="M21" s="56"/>
      <c r="O21" s="16">
        <v>4</v>
      </c>
      <c r="P21" s="24"/>
      <c r="Q21" s="25"/>
    </row>
    <row r="22" spans="1:17" ht="66.75" customHeight="1" x14ac:dyDescent="0.25">
      <c r="A22" s="30"/>
      <c r="B22" s="43" t="s">
        <v>50</v>
      </c>
      <c r="C22" s="44" t="s">
        <v>163</v>
      </c>
      <c r="D22" s="44" t="s">
        <v>164</v>
      </c>
      <c r="E22" s="44" t="s">
        <v>165</v>
      </c>
      <c r="F22" s="45" t="s">
        <v>166</v>
      </c>
      <c r="G22" s="16">
        <v>4</v>
      </c>
      <c r="H22" s="61"/>
      <c r="I22" s="62"/>
      <c r="K22" s="16">
        <v>4</v>
      </c>
      <c r="L22" s="57"/>
      <c r="M22" s="58"/>
      <c r="O22" s="16">
        <v>4</v>
      </c>
      <c r="P22" s="26"/>
      <c r="Q22" s="27"/>
    </row>
    <row r="23" spans="1:17" ht="60" x14ac:dyDescent="0.25">
      <c r="A23" s="31" t="s">
        <v>17</v>
      </c>
      <c r="B23" s="36" t="s">
        <v>54</v>
      </c>
      <c r="C23" s="34" t="s">
        <v>167</v>
      </c>
      <c r="D23" s="34" t="s">
        <v>168</v>
      </c>
      <c r="E23" s="34" t="s">
        <v>169</v>
      </c>
      <c r="F23" s="34" t="s">
        <v>170</v>
      </c>
      <c r="G23" s="16">
        <v>2</v>
      </c>
      <c r="H23" s="17">
        <f>AVERAGE(G23:G31)</f>
        <v>1.2</v>
      </c>
      <c r="I23" s="17">
        <f t="shared" si="1"/>
        <v>30</v>
      </c>
      <c r="K23" s="16">
        <v>2</v>
      </c>
      <c r="L23" s="17">
        <f>AVERAGE(K23:K31)</f>
        <v>1.2</v>
      </c>
      <c r="M23" s="17">
        <f t="shared" ref="M23" si="10">L23/4*100</f>
        <v>30</v>
      </c>
      <c r="O23" s="16">
        <v>2</v>
      </c>
      <c r="P23" s="17">
        <f>AVERAGE(O23:O31)</f>
        <v>1.2</v>
      </c>
      <c r="Q23" s="17">
        <f t="shared" ref="Q23" si="11">P23/4*100</f>
        <v>30</v>
      </c>
    </row>
    <row r="24" spans="1:17" ht="70.5" customHeight="1" x14ac:dyDescent="0.25">
      <c r="A24" s="32"/>
      <c r="B24" s="36" t="s">
        <v>80</v>
      </c>
      <c r="C24" s="34" t="s">
        <v>171</v>
      </c>
      <c r="D24" s="34" t="s">
        <v>172</v>
      </c>
      <c r="E24" s="34" t="s">
        <v>173</v>
      </c>
      <c r="F24" s="34" t="s">
        <v>174</v>
      </c>
      <c r="G24" s="16">
        <v>1</v>
      </c>
      <c r="H24" s="51"/>
      <c r="I24" s="52"/>
      <c r="K24" s="16">
        <v>1</v>
      </c>
      <c r="L24" s="53"/>
      <c r="M24" s="54"/>
      <c r="O24" s="16">
        <v>1</v>
      </c>
      <c r="P24" s="22"/>
      <c r="Q24" s="23"/>
    </row>
    <row r="25" spans="1:17" ht="51.75" customHeight="1" x14ac:dyDescent="0.25">
      <c r="A25" s="32"/>
      <c r="B25" s="36" t="s">
        <v>52</v>
      </c>
      <c r="C25" s="34" t="s">
        <v>175</v>
      </c>
      <c r="D25" s="34" t="s">
        <v>176</v>
      </c>
      <c r="E25" s="34" t="s">
        <v>177</v>
      </c>
      <c r="F25" s="34" t="s">
        <v>368</v>
      </c>
      <c r="G25" s="16">
        <v>1</v>
      </c>
      <c r="H25" s="59"/>
      <c r="I25" s="60"/>
      <c r="K25" s="16">
        <v>1</v>
      </c>
      <c r="L25" s="55"/>
      <c r="M25" s="56"/>
      <c r="O25" s="16">
        <v>1</v>
      </c>
      <c r="P25" s="24"/>
      <c r="Q25" s="25"/>
    </row>
    <row r="26" spans="1:17" ht="78" customHeight="1" x14ac:dyDescent="0.25">
      <c r="A26" s="32"/>
      <c r="B26" s="36" t="s">
        <v>59</v>
      </c>
      <c r="C26" s="34" t="s">
        <v>370</v>
      </c>
      <c r="D26" s="34" t="s">
        <v>369</v>
      </c>
      <c r="E26" s="34" t="s">
        <v>371</v>
      </c>
      <c r="F26" s="34" t="s">
        <v>178</v>
      </c>
      <c r="G26" s="16">
        <v>1</v>
      </c>
      <c r="H26" s="59"/>
      <c r="I26" s="60"/>
      <c r="K26" s="16">
        <v>1</v>
      </c>
      <c r="L26" s="55"/>
      <c r="M26" s="56"/>
      <c r="O26" s="16">
        <v>1</v>
      </c>
      <c r="P26" s="24"/>
      <c r="Q26" s="25"/>
    </row>
    <row r="27" spans="1:17" ht="53.25" customHeight="1" x14ac:dyDescent="0.25">
      <c r="A27" s="32"/>
      <c r="B27" s="36" t="s">
        <v>58</v>
      </c>
      <c r="C27" s="34" t="s">
        <v>179</v>
      </c>
      <c r="D27" s="34" t="s">
        <v>180</v>
      </c>
      <c r="E27" s="34" t="s">
        <v>372</v>
      </c>
      <c r="F27" s="34" t="s">
        <v>181</v>
      </c>
      <c r="G27" s="16"/>
      <c r="H27" s="59"/>
      <c r="I27" s="60"/>
      <c r="K27" s="16"/>
      <c r="L27" s="55"/>
      <c r="M27" s="56"/>
      <c r="O27" s="16"/>
      <c r="P27" s="24"/>
      <c r="Q27" s="25"/>
    </row>
    <row r="28" spans="1:17" ht="55.5" customHeight="1" x14ac:dyDescent="0.25">
      <c r="A28" s="32"/>
      <c r="B28" s="36" t="s">
        <v>57</v>
      </c>
      <c r="C28" s="34" t="s">
        <v>374</v>
      </c>
      <c r="D28" s="34" t="s">
        <v>373</v>
      </c>
      <c r="E28" s="34" t="s">
        <v>182</v>
      </c>
      <c r="F28" s="34" t="s">
        <v>183</v>
      </c>
      <c r="G28" s="16"/>
      <c r="H28" s="59"/>
      <c r="I28" s="60"/>
      <c r="K28" s="16"/>
      <c r="L28" s="55"/>
      <c r="M28" s="56"/>
      <c r="O28" s="16"/>
      <c r="P28" s="24"/>
      <c r="Q28" s="25"/>
    </row>
    <row r="29" spans="1:17" ht="51.75" customHeight="1" x14ac:dyDescent="0.25">
      <c r="A29" s="32"/>
      <c r="B29" s="36" t="s">
        <v>55</v>
      </c>
      <c r="C29" s="34" t="s">
        <v>184</v>
      </c>
      <c r="D29" s="34" t="s">
        <v>185</v>
      </c>
      <c r="E29" s="34" t="s">
        <v>186</v>
      </c>
      <c r="F29" s="34" t="s">
        <v>187</v>
      </c>
      <c r="G29" s="16"/>
      <c r="H29" s="59"/>
      <c r="I29" s="60"/>
      <c r="K29" s="16"/>
      <c r="L29" s="55"/>
      <c r="M29" s="56"/>
      <c r="O29" s="16"/>
      <c r="P29" s="24"/>
      <c r="Q29" s="25"/>
    </row>
    <row r="30" spans="1:17" ht="55.5" customHeight="1" x14ac:dyDescent="0.25">
      <c r="A30" s="32"/>
      <c r="B30" s="36" t="s">
        <v>53</v>
      </c>
      <c r="C30" s="34" t="s">
        <v>188</v>
      </c>
      <c r="D30" s="34" t="s">
        <v>189</v>
      </c>
      <c r="E30" s="34" t="s">
        <v>190</v>
      </c>
      <c r="F30" s="34" t="s">
        <v>191</v>
      </c>
      <c r="G30" s="16"/>
      <c r="H30" s="59"/>
      <c r="I30" s="60"/>
      <c r="K30" s="16"/>
      <c r="L30" s="55"/>
      <c r="M30" s="56"/>
      <c r="O30" s="16"/>
      <c r="P30" s="24"/>
      <c r="Q30" s="25"/>
    </row>
    <row r="31" spans="1:17" ht="57" customHeight="1" x14ac:dyDescent="0.25">
      <c r="A31" s="33"/>
      <c r="B31" s="46" t="s">
        <v>56</v>
      </c>
      <c r="C31" s="44" t="s">
        <v>192</v>
      </c>
      <c r="D31" s="44" t="s">
        <v>193</v>
      </c>
      <c r="E31" s="44" t="s">
        <v>194</v>
      </c>
      <c r="F31" s="45" t="s">
        <v>195</v>
      </c>
      <c r="G31" s="16">
        <v>1</v>
      </c>
      <c r="H31" s="61"/>
      <c r="I31" s="62"/>
      <c r="K31" s="16">
        <v>1</v>
      </c>
      <c r="L31" s="57"/>
      <c r="M31" s="58"/>
      <c r="O31" s="16">
        <v>1</v>
      </c>
      <c r="P31" s="26"/>
      <c r="Q31" s="27"/>
    </row>
    <row r="32" spans="1:17" ht="71.25" customHeight="1" x14ac:dyDescent="0.25">
      <c r="A32" s="28" t="s">
        <v>18</v>
      </c>
      <c r="B32" s="37" t="s">
        <v>60</v>
      </c>
      <c r="C32" s="6" t="s">
        <v>196</v>
      </c>
      <c r="D32" s="6" t="s">
        <v>197</v>
      </c>
      <c r="E32" s="6" t="s">
        <v>198</v>
      </c>
      <c r="F32" s="6" t="s">
        <v>199</v>
      </c>
      <c r="G32" s="16">
        <v>4</v>
      </c>
      <c r="H32" s="39">
        <f>AVERAGE(G32:G40)</f>
        <v>2.2000000000000002</v>
      </c>
      <c r="I32" s="39">
        <f t="shared" si="1"/>
        <v>55.000000000000007</v>
      </c>
      <c r="K32" s="16">
        <v>4</v>
      </c>
      <c r="L32" s="17">
        <f>AVERAGE(K32:K40)</f>
        <v>2.2000000000000002</v>
      </c>
      <c r="M32" s="17">
        <f t="shared" ref="M32" si="12">L32/4*100</f>
        <v>55.000000000000007</v>
      </c>
      <c r="O32" s="16">
        <v>4</v>
      </c>
      <c r="P32" s="17">
        <f>AVERAGE(O32:O40)</f>
        <v>2.2000000000000002</v>
      </c>
      <c r="Q32" s="17">
        <f t="shared" ref="Q32" si="13">P32/4*100</f>
        <v>55.000000000000007</v>
      </c>
    </row>
    <row r="33" spans="1:17" ht="66" customHeight="1" x14ac:dyDescent="0.25">
      <c r="A33" s="29"/>
      <c r="B33" s="37" t="s">
        <v>63</v>
      </c>
      <c r="C33" s="6" t="s">
        <v>200</v>
      </c>
      <c r="D33" s="6" t="s">
        <v>201</v>
      </c>
      <c r="E33" s="6" t="s">
        <v>202</v>
      </c>
      <c r="F33" s="6" t="s">
        <v>203</v>
      </c>
      <c r="G33" s="38"/>
      <c r="H33" s="50"/>
      <c r="I33" s="50"/>
      <c r="K33" s="16"/>
      <c r="L33" s="51"/>
      <c r="M33" s="52"/>
      <c r="O33" s="16"/>
      <c r="P33" s="19"/>
      <c r="Q33" s="20"/>
    </row>
    <row r="34" spans="1:17" ht="64.5" customHeight="1" x14ac:dyDescent="0.25">
      <c r="A34" s="29"/>
      <c r="B34" s="37" t="s">
        <v>204</v>
      </c>
      <c r="C34" s="6" t="s">
        <v>205</v>
      </c>
      <c r="D34" s="6" t="s">
        <v>206</v>
      </c>
      <c r="E34" s="6" t="s">
        <v>207</v>
      </c>
      <c r="F34" s="6" t="s">
        <v>208</v>
      </c>
      <c r="G34" s="38"/>
      <c r="H34" s="50"/>
      <c r="I34" s="50"/>
      <c r="K34" s="16"/>
      <c r="L34" s="51"/>
      <c r="M34" s="52"/>
      <c r="O34" s="16"/>
      <c r="P34" s="19"/>
      <c r="Q34" s="20"/>
    </row>
    <row r="35" spans="1:17" ht="72" customHeight="1" x14ac:dyDescent="0.25">
      <c r="A35" s="29"/>
      <c r="B35" s="37" t="s">
        <v>85</v>
      </c>
      <c r="C35" s="6" t="s">
        <v>209</v>
      </c>
      <c r="D35" s="6" t="s">
        <v>210</v>
      </c>
      <c r="E35" s="6" t="s">
        <v>211</v>
      </c>
      <c r="F35" s="6" t="s">
        <v>212</v>
      </c>
      <c r="G35" s="38"/>
      <c r="H35" s="50"/>
      <c r="I35" s="50"/>
      <c r="K35" s="16"/>
      <c r="L35" s="51"/>
      <c r="M35" s="52"/>
      <c r="O35" s="16"/>
      <c r="P35" s="19"/>
      <c r="Q35" s="20"/>
    </row>
    <row r="36" spans="1:17" ht="60" x14ac:dyDescent="0.25">
      <c r="A36" s="29"/>
      <c r="B36" s="37" t="s">
        <v>61</v>
      </c>
      <c r="C36" s="6" t="s">
        <v>213</v>
      </c>
      <c r="D36" s="6" t="s">
        <v>214</v>
      </c>
      <c r="E36" s="6" t="s">
        <v>215</v>
      </c>
      <c r="F36" s="6" t="s">
        <v>216</v>
      </c>
      <c r="G36" s="38">
        <v>4</v>
      </c>
      <c r="H36" s="50"/>
      <c r="I36" s="50"/>
      <c r="K36" s="16">
        <v>4</v>
      </c>
      <c r="L36" s="53"/>
      <c r="M36" s="54"/>
      <c r="O36" s="16">
        <v>4</v>
      </c>
      <c r="P36" s="22"/>
      <c r="Q36" s="23"/>
    </row>
    <row r="37" spans="1:17" ht="52.5" customHeight="1" x14ac:dyDescent="0.25">
      <c r="A37" s="29"/>
      <c r="B37" s="37" t="s">
        <v>62</v>
      </c>
      <c r="C37" s="6" t="s">
        <v>217</v>
      </c>
      <c r="D37" s="6" t="s">
        <v>218</v>
      </c>
      <c r="E37" s="6" t="s">
        <v>219</v>
      </c>
      <c r="F37" s="6" t="s">
        <v>220</v>
      </c>
      <c r="G37" s="38"/>
      <c r="H37" s="50"/>
      <c r="I37" s="50"/>
      <c r="K37" s="16"/>
      <c r="L37" s="55"/>
      <c r="M37" s="56"/>
      <c r="O37" s="16"/>
      <c r="P37" s="24"/>
      <c r="Q37" s="25"/>
    </row>
    <row r="38" spans="1:17" ht="50.25" customHeight="1" x14ac:dyDescent="0.25">
      <c r="A38" s="29"/>
      <c r="B38" s="37" t="s">
        <v>64</v>
      </c>
      <c r="C38" s="6" t="s">
        <v>221</v>
      </c>
      <c r="D38" s="6" t="s">
        <v>222</v>
      </c>
      <c r="E38" s="6" t="s">
        <v>223</v>
      </c>
      <c r="F38" s="6" t="s">
        <v>224</v>
      </c>
      <c r="G38" s="38">
        <v>1</v>
      </c>
      <c r="H38" s="50"/>
      <c r="I38" s="50"/>
      <c r="K38" s="16">
        <v>1</v>
      </c>
      <c r="L38" s="55"/>
      <c r="M38" s="56"/>
      <c r="O38" s="16">
        <v>1</v>
      </c>
      <c r="P38" s="24"/>
      <c r="Q38" s="25"/>
    </row>
    <row r="39" spans="1:17" ht="72.75" customHeight="1" x14ac:dyDescent="0.25">
      <c r="A39" s="29"/>
      <c r="B39" s="37" t="s">
        <v>225</v>
      </c>
      <c r="C39" s="6" t="s">
        <v>226</v>
      </c>
      <c r="D39" s="6" t="s">
        <v>227</v>
      </c>
      <c r="E39" s="6" t="s">
        <v>228</v>
      </c>
      <c r="F39" s="6" t="s">
        <v>229</v>
      </c>
      <c r="G39" s="38">
        <v>1</v>
      </c>
      <c r="H39" s="50"/>
      <c r="I39" s="50"/>
      <c r="K39" s="16">
        <v>1</v>
      </c>
      <c r="L39" s="55"/>
      <c r="M39" s="56"/>
      <c r="O39" s="16">
        <v>1</v>
      </c>
      <c r="P39" s="24"/>
      <c r="Q39" s="25"/>
    </row>
    <row r="40" spans="1:17" ht="55.5" customHeight="1" x14ac:dyDescent="0.25">
      <c r="A40" s="30"/>
      <c r="B40" s="47" t="s">
        <v>81</v>
      </c>
      <c r="C40" s="48" t="s">
        <v>230</v>
      </c>
      <c r="D40" s="48" t="s">
        <v>231</v>
      </c>
      <c r="E40" s="48" t="s">
        <v>232</v>
      </c>
      <c r="F40" s="49" t="s">
        <v>233</v>
      </c>
      <c r="G40" s="38">
        <v>1</v>
      </c>
      <c r="H40" s="50"/>
      <c r="I40" s="50"/>
      <c r="K40" s="16">
        <v>1</v>
      </c>
      <c r="L40" s="57"/>
      <c r="M40" s="58"/>
      <c r="O40" s="16">
        <v>1</v>
      </c>
      <c r="P40" s="26"/>
      <c r="Q40" s="27"/>
    </row>
    <row r="41" spans="1:17" ht="63.75" customHeight="1" x14ac:dyDescent="0.25">
      <c r="A41" s="31" t="s">
        <v>19</v>
      </c>
      <c r="B41" s="36" t="s">
        <v>234</v>
      </c>
      <c r="C41" s="34" t="s">
        <v>235</v>
      </c>
      <c r="D41" s="34" t="s">
        <v>236</v>
      </c>
      <c r="E41" s="34" t="s">
        <v>237</v>
      </c>
      <c r="F41" s="34" t="s">
        <v>238</v>
      </c>
      <c r="G41" s="16">
        <v>2</v>
      </c>
      <c r="H41" s="40">
        <f>AVERAGE(G41:G45)</f>
        <v>2.4</v>
      </c>
      <c r="I41" s="40">
        <f t="shared" si="1"/>
        <v>60</v>
      </c>
      <c r="K41" s="16">
        <v>2</v>
      </c>
      <c r="L41" s="40">
        <f>AVERAGE(K41:K45)</f>
        <v>2.4</v>
      </c>
      <c r="M41" s="17">
        <f t="shared" ref="M41" si="14">L41/4*100</f>
        <v>60</v>
      </c>
      <c r="O41" s="16">
        <v>2</v>
      </c>
      <c r="P41" s="40">
        <f>AVERAGE(O41:O45)</f>
        <v>2.4</v>
      </c>
      <c r="Q41" s="17">
        <f t="shared" ref="Q41" si="15">P41/4*100</f>
        <v>60</v>
      </c>
    </row>
    <row r="42" spans="1:17" ht="53.25" customHeight="1" x14ac:dyDescent="0.25">
      <c r="A42" s="32"/>
      <c r="B42" s="36" t="s">
        <v>239</v>
      </c>
      <c r="C42" s="34" t="s">
        <v>240</v>
      </c>
      <c r="D42" s="34" t="s">
        <v>241</v>
      </c>
      <c r="E42" s="34" t="s">
        <v>242</v>
      </c>
      <c r="F42" s="34" t="s">
        <v>243</v>
      </c>
      <c r="G42" s="16">
        <v>3</v>
      </c>
      <c r="H42" s="51"/>
      <c r="I42" s="52"/>
      <c r="K42" s="16">
        <v>3</v>
      </c>
      <c r="L42" s="53"/>
      <c r="M42" s="54"/>
      <c r="O42" s="16">
        <v>3</v>
      </c>
      <c r="P42" s="22"/>
      <c r="Q42" s="23"/>
    </row>
    <row r="43" spans="1:17" ht="50.25" customHeight="1" x14ac:dyDescent="0.25">
      <c r="A43" s="32"/>
      <c r="B43" s="36" t="s">
        <v>67</v>
      </c>
      <c r="C43" s="34" t="s">
        <v>244</v>
      </c>
      <c r="D43" s="34" t="s">
        <v>245</v>
      </c>
      <c r="E43" s="34" t="s">
        <v>246</v>
      </c>
      <c r="F43" s="34" t="s">
        <v>247</v>
      </c>
      <c r="G43" s="16">
        <v>2</v>
      </c>
      <c r="H43" s="59"/>
      <c r="I43" s="60"/>
      <c r="K43" s="16">
        <v>2</v>
      </c>
      <c r="L43" s="55"/>
      <c r="M43" s="56"/>
      <c r="O43" s="16">
        <v>2</v>
      </c>
      <c r="P43" s="24"/>
      <c r="Q43" s="25"/>
    </row>
    <row r="44" spans="1:17" ht="60" x14ac:dyDescent="0.25">
      <c r="A44" s="32"/>
      <c r="B44" s="36" t="s">
        <v>66</v>
      </c>
      <c r="C44" s="34" t="s">
        <v>248</v>
      </c>
      <c r="D44" s="34" t="s">
        <v>249</v>
      </c>
      <c r="E44" s="34" t="s">
        <v>250</v>
      </c>
      <c r="F44" s="34" t="s">
        <v>251</v>
      </c>
      <c r="G44" s="16">
        <v>3</v>
      </c>
      <c r="H44" s="59"/>
      <c r="I44" s="60"/>
      <c r="K44" s="16">
        <v>3</v>
      </c>
      <c r="L44" s="55"/>
      <c r="M44" s="56"/>
      <c r="O44" s="16">
        <v>3</v>
      </c>
      <c r="P44" s="24"/>
      <c r="Q44" s="25"/>
    </row>
    <row r="45" spans="1:17" ht="65.25" customHeight="1" x14ac:dyDescent="0.25">
      <c r="A45" s="33"/>
      <c r="B45" s="46" t="s">
        <v>65</v>
      </c>
      <c r="C45" s="44" t="s">
        <v>252</v>
      </c>
      <c r="D45" s="44" t="s">
        <v>253</v>
      </c>
      <c r="E45" s="44" t="s">
        <v>254</v>
      </c>
      <c r="F45" s="45" t="s">
        <v>255</v>
      </c>
      <c r="G45" s="16">
        <v>2</v>
      </c>
      <c r="H45" s="61"/>
      <c r="I45" s="62"/>
      <c r="K45" s="16">
        <v>2</v>
      </c>
      <c r="L45" s="57"/>
      <c r="M45" s="58"/>
      <c r="O45" s="16">
        <v>2</v>
      </c>
      <c r="P45" s="26"/>
      <c r="Q45" s="27"/>
    </row>
    <row r="46" spans="1:17" ht="83.25" customHeight="1" x14ac:dyDescent="0.25">
      <c r="A46" s="28" t="s">
        <v>20</v>
      </c>
      <c r="B46" s="35" t="s">
        <v>256</v>
      </c>
      <c r="C46" s="34" t="s">
        <v>257</v>
      </c>
      <c r="D46" s="34" t="s">
        <v>258</v>
      </c>
      <c r="E46" s="34" t="s">
        <v>259</v>
      </c>
      <c r="F46" s="34" t="s">
        <v>260</v>
      </c>
      <c r="G46" s="16">
        <v>4</v>
      </c>
      <c r="H46" s="17">
        <f>AVERAGE(G46:G50)</f>
        <v>2.6666666666666665</v>
      </c>
      <c r="I46" s="17">
        <f t="shared" si="1"/>
        <v>66.666666666666657</v>
      </c>
      <c r="K46" s="16">
        <v>4</v>
      </c>
      <c r="L46" s="17">
        <f>AVERAGE(K46:K50)</f>
        <v>2.6666666666666665</v>
      </c>
      <c r="M46" s="17">
        <f t="shared" ref="M46" si="16">L46/4*100</f>
        <v>66.666666666666657</v>
      </c>
      <c r="O46" s="16">
        <v>4</v>
      </c>
      <c r="P46" s="17">
        <f>AVERAGE(O46:O50)</f>
        <v>2.6666666666666665</v>
      </c>
      <c r="Q46" s="17">
        <f t="shared" ref="Q46" si="17">P46/4*100</f>
        <v>66.666666666666657</v>
      </c>
    </row>
    <row r="47" spans="1:17" ht="56.25" customHeight="1" x14ac:dyDescent="0.25">
      <c r="A47" s="29"/>
      <c r="B47" s="35" t="s">
        <v>68</v>
      </c>
      <c r="C47" s="34" t="s">
        <v>261</v>
      </c>
      <c r="D47" s="34" t="s">
        <v>262</v>
      </c>
      <c r="E47" s="34" t="s">
        <v>263</v>
      </c>
      <c r="F47" s="34" t="s">
        <v>264</v>
      </c>
      <c r="G47" s="16"/>
      <c r="H47" s="51"/>
      <c r="I47" s="52"/>
      <c r="K47" s="16"/>
      <c r="L47" s="51"/>
      <c r="M47" s="52"/>
      <c r="O47" s="16"/>
      <c r="P47" s="19"/>
      <c r="Q47" s="20"/>
    </row>
    <row r="48" spans="1:17" ht="60" x14ac:dyDescent="0.25">
      <c r="A48" s="29"/>
      <c r="B48" s="35" t="s">
        <v>265</v>
      </c>
      <c r="C48" s="34" t="s">
        <v>266</v>
      </c>
      <c r="D48" s="34" t="s">
        <v>267</v>
      </c>
      <c r="E48" s="34" t="s">
        <v>268</v>
      </c>
      <c r="F48" s="34" t="s">
        <v>269</v>
      </c>
      <c r="G48" s="16">
        <v>2</v>
      </c>
      <c r="H48" s="51"/>
      <c r="I48" s="52"/>
      <c r="K48" s="16">
        <v>2</v>
      </c>
      <c r="L48" s="53"/>
      <c r="M48" s="54"/>
      <c r="O48" s="16">
        <v>2</v>
      </c>
      <c r="P48" s="22"/>
      <c r="Q48" s="23"/>
    </row>
    <row r="49" spans="1:17" ht="64.5" customHeight="1" x14ac:dyDescent="0.25">
      <c r="A49" s="29"/>
      <c r="B49" s="35" t="s">
        <v>69</v>
      </c>
      <c r="C49" s="34" t="s">
        <v>270</v>
      </c>
      <c r="D49" s="34" t="s">
        <v>271</v>
      </c>
      <c r="E49" s="34" t="s">
        <v>272</v>
      </c>
      <c r="F49" s="34" t="s">
        <v>273</v>
      </c>
      <c r="G49" s="16"/>
      <c r="H49" s="59"/>
      <c r="I49" s="60"/>
      <c r="K49" s="16"/>
      <c r="L49" s="55"/>
      <c r="M49" s="56"/>
      <c r="O49" s="16"/>
      <c r="P49" s="24"/>
      <c r="Q49" s="25"/>
    </row>
    <row r="50" spans="1:17" ht="50.25" customHeight="1" x14ac:dyDescent="0.25">
      <c r="A50" s="30"/>
      <c r="B50" s="43" t="s">
        <v>70</v>
      </c>
      <c r="C50" s="44" t="s">
        <v>274</v>
      </c>
      <c r="D50" s="44" t="s">
        <v>275</v>
      </c>
      <c r="E50" s="44" t="s">
        <v>276</v>
      </c>
      <c r="F50" s="45" t="s">
        <v>277</v>
      </c>
      <c r="G50" s="16">
        <v>2</v>
      </c>
      <c r="H50" s="61"/>
      <c r="I50" s="62"/>
      <c r="K50" s="16">
        <v>2</v>
      </c>
      <c r="L50" s="57"/>
      <c r="M50" s="58"/>
      <c r="O50" s="16">
        <v>2</v>
      </c>
      <c r="P50" s="26"/>
      <c r="Q50" s="27"/>
    </row>
    <row r="51" spans="1:17" ht="52.5" customHeight="1" x14ac:dyDescent="0.25">
      <c r="A51" s="31" t="s">
        <v>21</v>
      </c>
      <c r="B51" s="36" t="s">
        <v>74</v>
      </c>
      <c r="C51" s="34" t="s">
        <v>278</v>
      </c>
      <c r="D51" s="34" t="s">
        <v>279</v>
      </c>
      <c r="E51" s="34" t="s">
        <v>280</v>
      </c>
      <c r="F51" s="34" t="s">
        <v>281</v>
      </c>
      <c r="G51" s="16">
        <v>1</v>
      </c>
      <c r="H51" s="17">
        <f>AVERAGE(G51:G58)</f>
        <v>2</v>
      </c>
      <c r="I51" s="17">
        <f t="shared" si="1"/>
        <v>50</v>
      </c>
      <c r="K51" s="16">
        <v>1</v>
      </c>
      <c r="L51" s="17">
        <f>AVERAGE(K51:K58)</f>
        <v>2</v>
      </c>
      <c r="M51" s="17">
        <f t="shared" ref="M51" si="18">L51/4*100</f>
        <v>50</v>
      </c>
      <c r="O51" s="16">
        <v>1</v>
      </c>
      <c r="P51" s="17">
        <f>AVERAGE(O51:O58)</f>
        <v>2</v>
      </c>
      <c r="Q51" s="17">
        <f t="shared" ref="Q51" si="19">P51/4*100</f>
        <v>50</v>
      </c>
    </row>
    <row r="52" spans="1:17" ht="66" customHeight="1" x14ac:dyDescent="0.25">
      <c r="A52" s="32"/>
      <c r="B52" s="36" t="s">
        <v>71</v>
      </c>
      <c r="C52" s="34" t="s">
        <v>282</v>
      </c>
      <c r="D52" s="34" t="s">
        <v>283</v>
      </c>
      <c r="E52" s="34" t="s">
        <v>284</v>
      </c>
      <c r="F52" s="34" t="s">
        <v>285</v>
      </c>
      <c r="G52" s="16"/>
      <c r="H52" s="51"/>
      <c r="I52" s="52"/>
      <c r="K52" s="16"/>
      <c r="L52" s="51"/>
      <c r="M52" s="52"/>
      <c r="O52" s="16"/>
      <c r="P52" s="19"/>
      <c r="Q52" s="20"/>
    </row>
    <row r="53" spans="1:17" ht="51.75" customHeight="1" x14ac:dyDescent="0.25">
      <c r="A53" s="32"/>
      <c r="B53" s="36" t="s">
        <v>72</v>
      </c>
      <c r="C53" s="34" t="s">
        <v>286</v>
      </c>
      <c r="D53" s="34" t="s">
        <v>287</v>
      </c>
      <c r="E53" s="34" t="s">
        <v>288</v>
      </c>
      <c r="F53" s="34" t="s">
        <v>289</v>
      </c>
      <c r="G53" s="16"/>
      <c r="H53" s="51"/>
      <c r="I53" s="52"/>
      <c r="K53" s="16"/>
      <c r="L53" s="51"/>
      <c r="M53" s="52"/>
      <c r="O53" s="16"/>
      <c r="P53" s="19"/>
      <c r="Q53" s="20"/>
    </row>
    <row r="54" spans="1:17" ht="64.5" customHeight="1" x14ac:dyDescent="0.25">
      <c r="A54" s="32"/>
      <c r="B54" s="36" t="s">
        <v>75</v>
      </c>
      <c r="C54" s="34" t="s">
        <v>290</v>
      </c>
      <c r="D54" s="34" t="s">
        <v>291</v>
      </c>
      <c r="E54" s="34" t="s">
        <v>292</v>
      </c>
      <c r="F54" s="34" t="s">
        <v>293</v>
      </c>
      <c r="G54" s="16">
        <v>4</v>
      </c>
      <c r="H54" s="51"/>
      <c r="I54" s="52"/>
      <c r="K54" s="16">
        <v>4</v>
      </c>
      <c r="L54" s="53"/>
      <c r="M54" s="54"/>
      <c r="O54" s="16">
        <v>4</v>
      </c>
      <c r="P54" s="22"/>
      <c r="Q54" s="23"/>
    </row>
    <row r="55" spans="1:17" ht="60" x14ac:dyDescent="0.25">
      <c r="A55" s="32"/>
      <c r="B55" s="36" t="s">
        <v>73</v>
      </c>
      <c r="C55" s="34" t="s">
        <v>294</v>
      </c>
      <c r="D55" s="34" t="s">
        <v>295</v>
      </c>
      <c r="E55" s="34" t="s">
        <v>296</v>
      </c>
      <c r="F55" s="34" t="s">
        <v>297</v>
      </c>
      <c r="G55" s="16">
        <v>2</v>
      </c>
      <c r="H55" s="59"/>
      <c r="I55" s="60"/>
      <c r="K55" s="16">
        <v>2</v>
      </c>
      <c r="L55" s="55"/>
      <c r="M55" s="56"/>
      <c r="O55" s="16">
        <v>2</v>
      </c>
      <c r="P55" s="24"/>
      <c r="Q55" s="25"/>
    </row>
    <row r="56" spans="1:17" ht="60" x14ac:dyDescent="0.25">
      <c r="A56" s="32"/>
      <c r="B56" s="36" t="s">
        <v>298</v>
      </c>
      <c r="C56" s="34" t="s">
        <v>299</v>
      </c>
      <c r="D56" s="34" t="s">
        <v>300</v>
      </c>
      <c r="E56" s="34" t="s">
        <v>301</v>
      </c>
      <c r="F56" s="34" t="s">
        <v>302</v>
      </c>
      <c r="G56" s="16">
        <v>1</v>
      </c>
      <c r="H56" s="59"/>
      <c r="I56" s="60"/>
      <c r="K56" s="16">
        <v>1</v>
      </c>
      <c r="L56" s="55"/>
      <c r="M56" s="56"/>
      <c r="O56" s="16">
        <v>1</v>
      </c>
      <c r="P56" s="24"/>
      <c r="Q56" s="25"/>
    </row>
    <row r="57" spans="1:17" ht="51.75" customHeight="1" x14ac:dyDescent="0.25">
      <c r="A57" s="32"/>
      <c r="B57" s="36" t="s">
        <v>82</v>
      </c>
      <c r="C57" s="34" t="s">
        <v>303</v>
      </c>
      <c r="D57" s="34" t="s">
        <v>304</v>
      </c>
      <c r="E57" s="34" t="s">
        <v>305</v>
      </c>
      <c r="F57" s="34" t="s">
        <v>306</v>
      </c>
      <c r="G57" s="16"/>
      <c r="H57" s="59"/>
      <c r="I57" s="60"/>
      <c r="K57" s="16"/>
      <c r="L57" s="55"/>
      <c r="M57" s="56"/>
      <c r="O57" s="16"/>
      <c r="P57" s="24"/>
      <c r="Q57" s="25"/>
    </row>
    <row r="58" spans="1:17" ht="67.5" customHeight="1" x14ac:dyDescent="0.25">
      <c r="A58" s="33"/>
      <c r="B58" s="46" t="s">
        <v>307</v>
      </c>
      <c r="C58" s="44" t="s">
        <v>308</v>
      </c>
      <c r="D58" s="44" t="s">
        <v>309</v>
      </c>
      <c r="E58" s="44" t="s">
        <v>310</v>
      </c>
      <c r="F58" s="45" t="s">
        <v>311</v>
      </c>
      <c r="G58" s="16">
        <v>2</v>
      </c>
      <c r="H58" s="61"/>
      <c r="I58" s="62"/>
      <c r="K58" s="16">
        <v>2</v>
      </c>
      <c r="L58" s="57"/>
      <c r="M58" s="58"/>
      <c r="O58" s="16">
        <v>2</v>
      </c>
      <c r="P58" s="26"/>
      <c r="Q58" s="27"/>
    </row>
    <row r="59" spans="1:17" ht="73.5" customHeight="1" x14ac:dyDescent="0.25">
      <c r="A59" s="28" t="s">
        <v>76</v>
      </c>
      <c r="B59" s="35" t="s">
        <v>336</v>
      </c>
      <c r="C59" s="34" t="s">
        <v>312</v>
      </c>
      <c r="D59" s="34" t="s">
        <v>313</v>
      </c>
      <c r="E59" s="34" t="s">
        <v>314</v>
      </c>
      <c r="F59" s="34" t="s">
        <v>315</v>
      </c>
      <c r="G59" s="16">
        <v>1</v>
      </c>
      <c r="H59" s="17">
        <f>AVERAGE(G59:G64)</f>
        <v>1.3333333333333333</v>
      </c>
      <c r="I59" s="17">
        <f t="shared" si="1"/>
        <v>33.333333333333329</v>
      </c>
      <c r="K59" s="16">
        <v>1</v>
      </c>
      <c r="L59" s="17">
        <f>AVERAGE(K59:K64)</f>
        <v>1.3333333333333333</v>
      </c>
      <c r="M59" s="17">
        <f t="shared" ref="M59" si="20">L59/4*100</f>
        <v>33.333333333333329</v>
      </c>
      <c r="O59" s="16">
        <v>1</v>
      </c>
      <c r="P59" s="17">
        <f>AVERAGE(O59:O64)</f>
        <v>1.3333333333333333</v>
      </c>
      <c r="Q59" s="17">
        <f t="shared" ref="Q59" si="21">P59/4*100</f>
        <v>33.333333333333329</v>
      </c>
    </row>
    <row r="60" spans="1:17" ht="51" customHeight="1" x14ac:dyDescent="0.25">
      <c r="A60" s="29"/>
      <c r="B60" s="35" t="s">
        <v>77</v>
      </c>
      <c r="C60" s="34" t="s">
        <v>316</v>
      </c>
      <c r="D60" s="34" t="s">
        <v>317</v>
      </c>
      <c r="E60" s="34" t="s">
        <v>318</v>
      </c>
      <c r="F60" s="34" t="s">
        <v>319</v>
      </c>
      <c r="G60" s="16"/>
      <c r="H60" s="51"/>
      <c r="I60" s="52"/>
      <c r="K60" s="16"/>
      <c r="L60" s="51"/>
      <c r="M60" s="52"/>
      <c r="O60" s="16"/>
      <c r="P60" s="19"/>
      <c r="Q60" s="20"/>
    </row>
    <row r="61" spans="1:17" ht="66.75" customHeight="1" x14ac:dyDescent="0.25">
      <c r="A61" s="29"/>
      <c r="B61" s="35" t="s">
        <v>78</v>
      </c>
      <c r="C61" s="34" t="s">
        <v>320</v>
      </c>
      <c r="D61" s="34" t="s">
        <v>321</v>
      </c>
      <c r="E61" s="34" t="s">
        <v>322</v>
      </c>
      <c r="F61" s="34" t="s">
        <v>323</v>
      </c>
      <c r="G61" s="16"/>
      <c r="H61" s="51"/>
      <c r="I61" s="52"/>
      <c r="K61" s="16"/>
      <c r="L61" s="51"/>
      <c r="M61" s="52"/>
      <c r="O61" s="16"/>
      <c r="P61" s="19"/>
      <c r="Q61" s="20"/>
    </row>
    <row r="62" spans="1:17" ht="60" x14ac:dyDescent="0.25">
      <c r="A62" s="29"/>
      <c r="B62" s="35" t="s">
        <v>84</v>
      </c>
      <c r="C62" s="34" t="s">
        <v>324</v>
      </c>
      <c r="D62" s="34" t="s">
        <v>325</v>
      </c>
      <c r="E62" s="34" t="s">
        <v>326</v>
      </c>
      <c r="F62" s="34" t="s">
        <v>327</v>
      </c>
      <c r="G62" s="16"/>
      <c r="H62" s="51"/>
      <c r="I62" s="52"/>
      <c r="K62" s="16"/>
      <c r="L62" s="51"/>
      <c r="M62" s="52"/>
      <c r="O62" s="16"/>
      <c r="P62" s="19"/>
      <c r="Q62" s="20"/>
    </row>
    <row r="63" spans="1:17" ht="54" customHeight="1" x14ac:dyDescent="0.25">
      <c r="A63" s="29"/>
      <c r="B63" s="35" t="s">
        <v>79</v>
      </c>
      <c r="C63" s="34" t="s">
        <v>328</v>
      </c>
      <c r="D63" s="34" t="s">
        <v>329</v>
      </c>
      <c r="E63" s="34" t="s">
        <v>330</v>
      </c>
      <c r="F63" s="34" t="s">
        <v>331</v>
      </c>
      <c r="G63" s="16">
        <v>1</v>
      </c>
      <c r="H63" s="59"/>
      <c r="I63" s="60"/>
      <c r="K63" s="16">
        <v>1</v>
      </c>
      <c r="L63" s="55"/>
      <c r="M63" s="56"/>
      <c r="O63" s="16">
        <v>1</v>
      </c>
      <c r="P63" s="24"/>
      <c r="Q63" s="25"/>
    </row>
    <row r="64" spans="1:17" ht="60" x14ac:dyDescent="0.25">
      <c r="A64" s="30"/>
      <c r="B64" s="43" t="s">
        <v>83</v>
      </c>
      <c r="C64" s="44" t="s">
        <v>332</v>
      </c>
      <c r="D64" s="44" t="s">
        <v>333</v>
      </c>
      <c r="E64" s="44" t="s">
        <v>334</v>
      </c>
      <c r="F64" s="45" t="s">
        <v>335</v>
      </c>
      <c r="G64" s="16">
        <v>2</v>
      </c>
      <c r="H64" s="61"/>
      <c r="I64" s="62"/>
      <c r="K64" s="16">
        <v>2</v>
      </c>
      <c r="L64" s="57"/>
      <c r="M64" s="58"/>
      <c r="O64" s="16">
        <v>2</v>
      </c>
      <c r="P64" s="26"/>
      <c r="Q64" s="27"/>
    </row>
  </sheetData>
  <mergeCells count="9">
    <mergeCell ref="A46:A50"/>
    <mergeCell ref="A51:A58"/>
    <mergeCell ref="A59:A64"/>
    <mergeCell ref="A4:A10"/>
    <mergeCell ref="A11:A16"/>
    <mergeCell ref="A17:A22"/>
    <mergeCell ref="A23:A31"/>
    <mergeCell ref="A32:A40"/>
    <mergeCell ref="A41:A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208A-9165-40CC-A47C-908F4800C57D}">
  <dimension ref="A2:D36"/>
  <sheetViews>
    <sheetView topLeftCell="A21" workbookViewId="0">
      <selection activeCell="A11" sqref="A11"/>
    </sheetView>
  </sheetViews>
  <sheetFormatPr defaultRowHeight="15" x14ac:dyDescent="0.25"/>
  <cols>
    <col min="1" max="1" width="45.42578125" customWidth="1"/>
    <col min="2" max="2" width="15.85546875" customWidth="1"/>
    <col min="3" max="3" width="14.140625" customWidth="1"/>
    <col min="4" max="4" width="13" customWidth="1"/>
  </cols>
  <sheetData>
    <row r="2" spans="1:4" ht="18.75" x14ac:dyDescent="0.3">
      <c r="A2" s="9" t="s">
        <v>22</v>
      </c>
    </row>
    <row r="3" spans="1:4" x14ac:dyDescent="0.25">
      <c r="B3" s="7" t="s">
        <v>23</v>
      </c>
    </row>
    <row r="4" spans="1:4" x14ac:dyDescent="0.25">
      <c r="A4" s="8" t="s">
        <v>24</v>
      </c>
      <c r="B4" s="7" t="s">
        <v>12</v>
      </c>
    </row>
    <row r="5" spans="1:4" ht="15.75" customHeight="1" x14ac:dyDescent="0.25">
      <c r="A5" s="5" t="s">
        <v>25</v>
      </c>
      <c r="B5" s="4">
        <f>'raw data'!I4</f>
        <v>87.5</v>
      </c>
      <c r="C5" s="3"/>
      <c r="D5" s="3"/>
    </row>
    <row r="6" spans="1:4" x14ac:dyDescent="0.25">
      <c r="A6" s="6" t="s">
        <v>26</v>
      </c>
      <c r="B6" s="4">
        <f>'raw data'!I11</f>
        <v>75</v>
      </c>
      <c r="C6" s="3"/>
      <c r="D6" s="3"/>
    </row>
    <row r="7" spans="1:4" x14ac:dyDescent="0.25">
      <c r="A7" s="5" t="s">
        <v>27</v>
      </c>
      <c r="B7" s="4">
        <f>'raw data'!I17</f>
        <v>75</v>
      </c>
      <c r="C7" s="3"/>
      <c r="D7" s="3"/>
    </row>
    <row r="8" spans="1:4" x14ac:dyDescent="0.25">
      <c r="A8" s="6" t="s">
        <v>28</v>
      </c>
      <c r="B8" s="4">
        <f>'raw data'!I23</f>
        <v>30</v>
      </c>
      <c r="C8" s="3"/>
      <c r="D8" s="3"/>
    </row>
    <row r="9" spans="1:4" x14ac:dyDescent="0.25">
      <c r="A9" s="5" t="s">
        <v>29</v>
      </c>
      <c r="B9" s="4">
        <f>'raw data'!I32</f>
        <v>55.000000000000007</v>
      </c>
      <c r="C9" s="3"/>
      <c r="D9" s="3"/>
    </row>
    <row r="10" spans="1:4" ht="15" customHeight="1" x14ac:dyDescent="0.25">
      <c r="A10" s="6" t="s">
        <v>30</v>
      </c>
      <c r="B10" s="4">
        <f>'raw data'!I41</f>
        <v>60</v>
      </c>
      <c r="C10" s="3"/>
      <c r="D10" s="3"/>
    </row>
    <row r="11" spans="1:4" ht="15" customHeight="1" x14ac:dyDescent="0.25">
      <c r="A11" s="5" t="s">
        <v>31</v>
      </c>
      <c r="B11" s="4">
        <f>'raw data'!I46</f>
        <v>66.666666666666657</v>
      </c>
      <c r="C11" s="3"/>
      <c r="D11" s="3"/>
    </row>
    <row r="12" spans="1:4" ht="15" customHeight="1" x14ac:dyDescent="0.25">
      <c r="A12" s="6" t="s">
        <v>32</v>
      </c>
      <c r="B12" s="4">
        <f>'raw data'!I51</f>
        <v>50</v>
      </c>
      <c r="C12" s="3"/>
      <c r="D12" s="3"/>
    </row>
    <row r="13" spans="1:4" x14ac:dyDescent="0.25">
      <c r="A13" s="5" t="s">
        <v>33</v>
      </c>
      <c r="B13" s="4">
        <f>'raw data'!I59</f>
        <v>33.333333333333329</v>
      </c>
      <c r="C13" s="3"/>
      <c r="D13" s="3"/>
    </row>
    <row r="14" spans="1:4" ht="15.75" thickBot="1" x14ac:dyDescent="0.3"/>
    <row r="15" spans="1:4" ht="15.75" thickBot="1" x14ac:dyDescent="0.3">
      <c r="A15" s="8" t="s">
        <v>34</v>
      </c>
      <c r="B15" s="10">
        <f>AVERAGE(B5:B13)</f>
        <v>59.166666666666664</v>
      </c>
    </row>
    <row r="24" spans="1:4" x14ac:dyDescent="0.25">
      <c r="B24" s="7" t="s">
        <v>23</v>
      </c>
      <c r="C24" s="7" t="s">
        <v>35</v>
      </c>
      <c r="D24" s="7" t="s">
        <v>36</v>
      </c>
    </row>
    <row r="25" spans="1:4" x14ac:dyDescent="0.25">
      <c r="A25" s="8" t="s">
        <v>24</v>
      </c>
      <c r="B25" s="7" t="s">
        <v>12</v>
      </c>
      <c r="C25" s="7" t="s">
        <v>12</v>
      </c>
      <c r="D25" s="7" t="s">
        <v>12</v>
      </c>
    </row>
    <row r="26" spans="1:4" ht="18.75" customHeight="1" x14ac:dyDescent="0.25">
      <c r="A26" s="5" t="s">
        <v>25</v>
      </c>
      <c r="B26" s="4">
        <f>B5</f>
        <v>87.5</v>
      </c>
      <c r="C26" s="4">
        <f>'raw data'!M4</f>
        <v>87.5</v>
      </c>
      <c r="D26" s="4">
        <f>'raw data'!Q4</f>
        <v>87.5</v>
      </c>
    </row>
    <row r="27" spans="1:4" x14ac:dyDescent="0.25">
      <c r="A27" s="6" t="s">
        <v>26</v>
      </c>
      <c r="B27" s="4">
        <f t="shared" ref="B27:B34" si="0">B6</f>
        <v>75</v>
      </c>
      <c r="C27" s="4">
        <f>'raw data'!M11</f>
        <v>75</v>
      </c>
      <c r="D27" s="4">
        <f>'raw data'!Q11</f>
        <v>75</v>
      </c>
    </row>
    <row r="28" spans="1:4" x14ac:dyDescent="0.25">
      <c r="A28" s="5" t="s">
        <v>27</v>
      </c>
      <c r="B28" s="4">
        <f t="shared" si="0"/>
        <v>75</v>
      </c>
      <c r="C28" s="4">
        <f>'raw data'!M17</f>
        <v>75</v>
      </c>
      <c r="D28" s="4">
        <f>'raw data'!Q17</f>
        <v>75</v>
      </c>
    </row>
    <row r="29" spans="1:4" x14ac:dyDescent="0.25">
      <c r="A29" s="6" t="s">
        <v>28</v>
      </c>
      <c r="B29" s="4">
        <f t="shared" si="0"/>
        <v>30</v>
      </c>
      <c r="C29" s="4">
        <f>'raw data'!M23</f>
        <v>30</v>
      </c>
      <c r="D29" s="4">
        <f>'raw data'!Q23</f>
        <v>30</v>
      </c>
    </row>
    <row r="30" spans="1:4" x14ac:dyDescent="0.25">
      <c r="A30" s="5" t="s">
        <v>29</v>
      </c>
      <c r="B30" s="4">
        <f t="shared" si="0"/>
        <v>55.000000000000007</v>
      </c>
      <c r="C30" s="4">
        <f>'raw data'!M32</f>
        <v>55.000000000000007</v>
      </c>
      <c r="D30" s="4">
        <f>'raw data'!Q32</f>
        <v>55.000000000000007</v>
      </c>
    </row>
    <row r="31" spans="1:4" x14ac:dyDescent="0.25">
      <c r="A31" s="6" t="s">
        <v>30</v>
      </c>
      <c r="B31" s="4">
        <f t="shared" si="0"/>
        <v>60</v>
      </c>
      <c r="C31" s="4">
        <f>'raw data'!M41</f>
        <v>60</v>
      </c>
      <c r="D31" s="4">
        <f>'raw data'!Q41</f>
        <v>60</v>
      </c>
    </row>
    <row r="32" spans="1:4" x14ac:dyDescent="0.25">
      <c r="A32" s="5" t="s">
        <v>31</v>
      </c>
      <c r="B32" s="4">
        <f t="shared" si="0"/>
        <v>66.666666666666657</v>
      </c>
      <c r="C32" s="4">
        <f>'raw data'!M46</f>
        <v>66.666666666666657</v>
      </c>
      <c r="D32" s="4">
        <f>'raw data'!Q46</f>
        <v>66.666666666666657</v>
      </c>
    </row>
    <row r="33" spans="1:4" x14ac:dyDescent="0.25">
      <c r="A33" s="6" t="s">
        <v>32</v>
      </c>
      <c r="B33" s="4">
        <f t="shared" si="0"/>
        <v>50</v>
      </c>
      <c r="C33" s="4">
        <f>'raw data'!M51</f>
        <v>50</v>
      </c>
      <c r="D33" s="4">
        <f>'raw data'!Q51</f>
        <v>50</v>
      </c>
    </row>
    <row r="34" spans="1:4" x14ac:dyDescent="0.25">
      <c r="A34" s="5" t="s">
        <v>33</v>
      </c>
      <c r="B34" s="4">
        <f t="shared" si="0"/>
        <v>33.333333333333329</v>
      </c>
      <c r="C34" s="4">
        <f>'raw data'!M59</f>
        <v>33.333333333333329</v>
      </c>
      <c r="D34" s="4">
        <f>'raw data'!Q59</f>
        <v>33.333333333333329</v>
      </c>
    </row>
    <row r="35" spans="1:4" ht="15.75" thickBot="1" x14ac:dyDescent="0.3">
      <c r="B35" s="3"/>
      <c r="C35" s="3"/>
      <c r="D35" s="3"/>
    </row>
    <row r="36" spans="1:4" ht="15.75" thickBot="1" x14ac:dyDescent="0.3">
      <c r="A36" s="8" t="s">
        <v>37</v>
      </c>
      <c r="B36" s="11">
        <f>AVERAGE(B26:B34)</f>
        <v>59.166666666666664</v>
      </c>
      <c r="C36" s="10">
        <f t="shared" ref="C36:D36" si="1">AVERAGE(C26:C34)</f>
        <v>59.166666666666664</v>
      </c>
      <c r="D36" s="12">
        <f t="shared" si="1"/>
        <v>59.166666666666664</v>
      </c>
    </row>
  </sheetData>
  <conditionalFormatting sqref="B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D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:D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 sheet</vt:lpstr>
      <vt:lpstr>raw data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Claes, Filip (FAORAP)</dc:creator>
  <cp:keywords/>
  <dc:description/>
  <cp:lastModifiedBy>Claes, Filip (FAORAP)</cp:lastModifiedBy>
  <cp:revision/>
  <dcterms:created xsi:type="dcterms:W3CDTF">2025-10-20T03:48:52Z</dcterms:created>
  <dcterms:modified xsi:type="dcterms:W3CDTF">2025-12-30T08:49:03Z</dcterms:modified>
  <cp:category/>
  <cp:contentStatus/>
</cp:coreProperties>
</file>